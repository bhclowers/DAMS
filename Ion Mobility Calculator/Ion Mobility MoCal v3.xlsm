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lowers\Google Drive\SPELLS\IMS Calculator\"/>
    </mc:Choice>
  </mc:AlternateContent>
  <bookViews>
    <workbookView xWindow="0" yWindow="456" windowWidth="51204" windowHeight="15456"/>
  </bookViews>
  <sheets>
    <sheet name="MobilityCalculator" sheetId="1" r:id="rId1"/>
    <sheet name="fc" sheetId="2" r:id="rId2"/>
  </sheets>
  <functionGroups builtInGroupCount="18"/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G5" i="1"/>
  <c r="L16" i="1"/>
  <c r="M16" i="1"/>
  <c r="C7" i="1"/>
  <c r="B8" i="1"/>
  <c r="H10" i="1"/>
  <c r="B18" i="1"/>
  <c r="M21" i="1"/>
  <c r="G31" i="1"/>
  <c r="B20" i="1"/>
  <c r="B19" i="1"/>
  <c r="G13" i="1"/>
  <c r="M20" i="1"/>
  <c r="L20" i="1"/>
  <c r="M19" i="1"/>
  <c r="L19" i="1"/>
  <c r="L3" i="2"/>
  <c r="L11" i="2"/>
  <c r="L19" i="2"/>
  <c r="L27" i="2"/>
  <c r="L35" i="2"/>
  <c r="L43" i="2"/>
  <c r="L51" i="2"/>
  <c r="L59" i="2"/>
  <c r="L67" i="2"/>
  <c r="L75" i="2"/>
  <c r="L83" i="2"/>
  <c r="L91" i="2"/>
  <c r="L99" i="2"/>
  <c r="L107" i="2"/>
  <c r="L115" i="2"/>
  <c r="L123" i="2"/>
  <c r="L131" i="2"/>
  <c r="L139" i="2"/>
  <c r="L147" i="2"/>
  <c r="L155" i="2"/>
  <c r="L163" i="2"/>
  <c r="L171" i="2"/>
  <c r="L179" i="2"/>
  <c r="L187" i="2"/>
  <c r="L195" i="2"/>
  <c r="L203" i="2"/>
  <c r="L211" i="2"/>
  <c r="L219" i="2"/>
  <c r="L227" i="2"/>
  <c r="L235" i="2"/>
  <c r="L243" i="2"/>
  <c r="L251" i="2"/>
  <c r="L259" i="2"/>
  <c r="L267" i="2"/>
  <c r="L275" i="2"/>
  <c r="L283" i="2"/>
  <c r="L291" i="2"/>
  <c r="L299" i="2"/>
  <c r="L307" i="2"/>
  <c r="L315" i="2"/>
  <c r="L323" i="2"/>
  <c r="L331" i="2"/>
  <c r="L339" i="2"/>
  <c r="L347" i="2"/>
  <c r="L355" i="2"/>
  <c r="L363" i="2"/>
  <c r="L371" i="2"/>
  <c r="L379" i="2"/>
  <c r="L387" i="2"/>
  <c r="L395" i="2"/>
  <c r="L403" i="2"/>
  <c r="L411" i="2"/>
  <c r="L419" i="2"/>
  <c r="L427" i="2"/>
  <c r="L435" i="2"/>
  <c r="L443" i="2"/>
  <c r="L451" i="2"/>
  <c r="L459" i="2"/>
  <c r="L467" i="2"/>
  <c r="L475" i="2"/>
  <c r="L483" i="2"/>
  <c r="L491" i="2"/>
  <c r="L499" i="2"/>
  <c r="L507" i="2"/>
  <c r="L515" i="2"/>
  <c r="L523" i="2"/>
  <c r="L531" i="2"/>
  <c r="L539" i="2"/>
  <c r="L547" i="2"/>
  <c r="L555" i="2"/>
  <c r="L563" i="2"/>
  <c r="L571" i="2"/>
  <c r="L579" i="2"/>
  <c r="L587" i="2"/>
  <c r="L595" i="2"/>
  <c r="L603" i="2"/>
  <c r="L611" i="2"/>
  <c r="L619" i="2"/>
  <c r="L627" i="2"/>
  <c r="L635" i="2"/>
  <c r="L643" i="2"/>
  <c r="L651" i="2"/>
  <c r="L659" i="2"/>
  <c r="L667" i="2"/>
  <c r="L675" i="2"/>
  <c r="L683" i="2"/>
  <c r="L691" i="2"/>
  <c r="L699" i="2"/>
  <c r="L707" i="2"/>
  <c r="L715" i="2"/>
  <c r="L723" i="2"/>
  <c r="L731" i="2"/>
  <c r="L739" i="2"/>
  <c r="L747" i="2"/>
  <c r="L755" i="2"/>
  <c r="L763" i="2"/>
  <c r="L771" i="2"/>
  <c r="L779" i="2"/>
  <c r="L787" i="2"/>
  <c r="L795" i="2"/>
  <c r="L803" i="2"/>
  <c r="L811" i="2"/>
  <c r="L819" i="2"/>
  <c r="L827" i="2"/>
  <c r="L835" i="2"/>
  <c r="L843" i="2"/>
  <c r="L851" i="2"/>
  <c r="L859" i="2"/>
  <c r="L867" i="2"/>
  <c r="L875" i="2"/>
  <c r="L883" i="2"/>
  <c r="L891" i="2"/>
  <c r="L899" i="2"/>
  <c r="L907" i="2"/>
  <c r="L915" i="2"/>
  <c r="L923" i="2"/>
  <c r="L931" i="2"/>
  <c r="L939" i="2"/>
  <c r="L947" i="2"/>
  <c r="L955" i="2"/>
  <c r="L963" i="2"/>
  <c r="L971" i="2"/>
  <c r="L979" i="2"/>
  <c r="L987" i="2"/>
  <c r="L995" i="2"/>
  <c r="L1003" i="2"/>
  <c r="L1011" i="2"/>
  <c r="L4" i="2"/>
  <c r="L12" i="2"/>
  <c r="L20" i="2"/>
  <c r="L28" i="2"/>
  <c r="L36" i="2"/>
  <c r="L44" i="2"/>
  <c r="L52" i="2"/>
  <c r="L60" i="2"/>
  <c r="L68" i="2"/>
  <c r="L76" i="2"/>
  <c r="L84" i="2"/>
  <c r="L92" i="2"/>
  <c r="L100" i="2"/>
  <c r="L108" i="2"/>
  <c r="L116" i="2"/>
  <c r="L124" i="2"/>
  <c r="L132" i="2"/>
  <c r="L140" i="2"/>
  <c r="L148" i="2"/>
  <c r="L156" i="2"/>
  <c r="L164" i="2"/>
  <c r="L172" i="2"/>
  <c r="L180" i="2"/>
  <c r="L188" i="2"/>
  <c r="L196" i="2"/>
  <c r="L204" i="2"/>
  <c r="L212" i="2"/>
  <c r="L220" i="2"/>
  <c r="L228" i="2"/>
  <c r="L236" i="2"/>
  <c r="L244" i="2"/>
  <c r="L252" i="2"/>
  <c r="L260" i="2"/>
  <c r="L268" i="2"/>
  <c r="L276" i="2"/>
  <c r="L284" i="2"/>
  <c r="L292" i="2"/>
  <c r="L300" i="2"/>
  <c r="L308" i="2"/>
  <c r="L316" i="2"/>
  <c r="L324" i="2"/>
  <c r="L332" i="2"/>
  <c r="L340" i="2"/>
  <c r="L348" i="2"/>
  <c r="L356" i="2"/>
  <c r="L364" i="2"/>
  <c r="L372" i="2"/>
  <c r="L380" i="2"/>
  <c r="L388" i="2"/>
  <c r="L396" i="2"/>
  <c r="L404" i="2"/>
  <c r="L412" i="2"/>
  <c r="L420" i="2"/>
  <c r="L428" i="2"/>
  <c r="L436" i="2"/>
  <c r="L444" i="2"/>
  <c r="L452" i="2"/>
  <c r="L460" i="2"/>
  <c r="L468" i="2"/>
  <c r="L476" i="2"/>
  <c r="L484" i="2"/>
  <c r="L492" i="2"/>
  <c r="L500" i="2"/>
  <c r="L508" i="2"/>
  <c r="L516" i="2"/>
  <c r="L524" i="2"/>
  <c r="L532" i="2"/>
  <c r="L540" i="2"/>
  <c r="L548" i="2"/>
  <c r="L556" i="2"/>
  <c r="L564" i="2"/>
  <c r="L572" i="2"/>
  <c r="L580" i="2"/>
  <c r="L588" i="2"/>
  <c r="L596" i="2"/>
  <c r="L604" i="2"/>
  <c r="L612" i="2"/>
  <c r="L620" i="2"/>
  <c r="L628" i="2"/>
  <c r="L636" i="2"/>
  <c r="L644" i="2"/>
  <c r="L652" i="2"/>
  <c r="L660" i="2"/>
  <c r="L668" i="2"/>
  <c r="L676" i="2"/>
  <c r="L684" i="2"/>
  <c r="L692" i="2"/>
  <c r="L700" i="2"/>
  <c r="L708" i="2"/>
  <c r="L716" i="2"/>
  <c r="L724" i="2"/>
  <c r="L732" i="2"/>
  <c r="L740" i="2"/>
  <c r="L748" i="2"/>
  <c r="L756" i="2"/>
  <c r="L764" i="2"/>
  <c r="L772" i="2"/>
  <c r="L780" i="2"/>
  <c r="L788" i="2"/>
  <c r="L796" i="2"/>
  <c r="L804" i="2"/>
  <c r="L812" i="2"/>
  <c r="L820" i="2"/>
  <c r="L828" i="2"/>
  <c r="L836" i="2"/>
  <c r="L844" i="2"/>
  <c r="L852" i="2"/>
  <c r="L860" i="2"/>
  <c r="L868" i="2"/>
  <c r="L876" i="2"/>
  <c r="L884" i="2"/>
  <c r="L892" i="2"/>
  <c r="L900" i="2"/>
  <c r="L908" i="2"/>
  <c r="L916" i="2"/>
  <c r="L924" i="2"/>
  <c r="L8" i="2"/>
  <c r="L16" i="2"/>
  <c r="L24" i="2"/>
  <c r="L32" i="2"/>
  <c r="L40" i="2"/>
  <c r="L48" i="2"/>
  <c r="L56" i="2"/>
  <c r="L64" i="2"/>
  <c r="L72" i="2"/>
  <c r="L80" i="2"/>
  <c r="L88" i="2"/>
  <c r="L96" i="2"/>
  <c r="L104" i="2"/>
  <c r="L112" i="2"/>
  <c r="L120" i="2"/>
  <c r="L128" i="2"/>
  <c r="L136" i="2"/>
  <c r="L144" i="2"/>
  <c r="L152" i="2"/>
  <c r="L160" i="2"/>
  <c r="L168" i="2"/>
  <c r="L176" i="2"/>
  <c r="L184" i="2"/>
  <c r="L192" i="2"/>
  <c r="L200" i="2"/>
  <c r="L208" i="2"/>
  <c r="L216" i="2"/>
  <c r="L224" i="2"/>
  <c r="L232" i="2"/>
  <c r="L240" i="2"/>
  <c r="L248" i="2"/>
  <c r="L256" i="2"/>
  <c r="L264" i="2"/>
  <c r="L272" i="2"/>
  <c r="L280" i="2"/>
  <c r="L288" i="2"/>
  <c r="L296" i="2"/>
  <c r="L304" i="2"/>
  <c r="L312" i="2"/>
  <c r="L320" i="2"/>
  <c r="L328" i="2"/>
  <c r="L336" i="2"/>
  <c r="L344" i="2"/>
  <c r="L352" i="2"/>
  <c r="L360" i="2"/>
  <c r="L368" i="2"/>
  <c r="L376" i="2"/>
  <c r="L384" i="2"/>
  <c r="L392" i="2"/>
  <c r="L400" i="2"/>
  <c r="L408" i="2"/>
  <c r="L416" i="2"/>
  <c r="L424" i="2"/>
  <c r="L432" i="2"/>
  <c r="L440" i="2"/>
  <c r="L448" i="2"/>
  <c r="L456" i="2"/>
  <c r="L464" i="2"/>
  <c r="L472" i="2"/>
  <c r="L480" i="2"/>
  <c r="L488" i="2"/>
  <c r="L496" i="2"/>
  <c r="L504" i="2"/>
  <c r="L512" i="2"/>
  <c r="L520" i="2"/>
  <c r="L528" i="2"/>
  <c r="L536" i="2"/>
  <c r="L544" i="2"/>
  <c r="L552" i="2"/>
  <c r="L560" i="2"/>
  <c r="L568" i="2"/>
  <c r="L576" i="2"/>
  <c r="L584" i="2"/>
  <c r="L592" i="2"/>
  <c r="L600" i="2"/>
  <c r="L608" i="2"/>
  <c r="L616" i="2"/>
  <c r="L624" i="2"/>
  <c r="L632" i="2"/>
  <c r="L640" i="2"/>
  <c r="L648" i="2"/>
  <c r="L656" i="2"/>
  <c r="L664" i="2"/>
  <c r="L672" i="2"/>
  <c r="L680" i="2"/>
  <c r="L688" i="2"/>
  <c r="L696" i="2"/>
  <c r="L704" i="2"/>
  <c r="L712" i="2"/>
  <c r="L720" i="2"/>
  <c r="L728" i="2"/>
  <c r="L736" i="2"/>
  <c r="L744" i="2"/>
  <c r="L752" i="2"/>
  <c r="L760" i="2"/>
  <c r="L768" i="2"/>
  <c r="L776" i="2"/>
  <c r="L784" i="2"/>
  <c r="L792" i="2"/>
  <c r="L800" i="2"/>
  <c r="L808" i="2"/>
  <c r="L816" i="2"/>
  <c r="L824" i="2"/>
  <c r="L832" i="2"/>
  <c r="L840" i="2"/>
  <c r="L848" i="2"/>
  <c r="L856" i="2"/>
  <c r="L864" i="2"/>
  <c r="L872" i="2"/>
  <c r="L880" i="2"/>
  <c r="L888" i="2"/>
  <c r="L896" i="2"/>
  <c r="L904" i="2"/>
  <c r="L912" i="2"/>
  <c r="L920" i="2"/>
  <c r="L928" i="2"/>
  <c r="L936" i="2"/>
  <c r="L944" i="2"/>
  <c r="L952" i="2"/>
  <c r="L960" i="2"/>
  <c r="L968" i="2"/>
  <c r="L976" i="2"/>
  <c r="L984" i="2"/>
  <c r="L992" i="2"/>
  <c r="L1000" i="2"/>
  <c r="L1008" i="2"/>
  <c r="L1016" i="2"/>
  <c r="L5" i="2"/>
  <c r="L17" i="2"/>
  <c r="L30" i="2"/>
  <c r="L42" i="2"/>
  <c r="L55" i="2"/>
  <c r="L69" i="2"/>
  <c r="L81" i="2"/>
  <c r="L94" i="2"/>
  <c r="L106" i="2"/>
  <c r="L119" i="2"/>
  <c r="L133" i="2"/>
  <c r="L145" i="2"/>
  <c r="L158" i="2"/>
  <c r="L170" i="2"/>
  <c r="L183" i="2"/>
  <c r="L197" i="2"/>
  <c r="L209" i="2"/>
  <c r="L222" i="2"/>
  <c r="L234" i="2"/>
  <c r="L247" i="2"/>
  <c r="L261" i="2"/>
  <c r="L273" i="2"/>
  <c r="L286" i="2"/>
  <c r="L298" i="2"/>
  <c r="L311" i="2"/>
  <c r="L325" i="2"/>
  <c r="L337" i="2"/>
  <c r="L350" i="2"/>
  <c r="L362" i="2"/>
  <c r="L375" i="2"/>
  <c r="L389" i="2"/>
  <c r="L401" i="2"/>
  <c r="L414" i="2"/>
  <c r="L426" i="2"/>
  <c r="L439" i="2"/>
  <c r="L453" i="2"/>
  <c r="L465" i="2"/>
  <c r="L478" i="2"/>
  <c r="L490" i="2"/>
  <c r="L503" i="2"/>
  <c r="L517" i="2"/>
  <c r="L529" i="2"/>
  <c r="L542" i="2"/>
  <c r="L554" i="2"/>
  <c r="L567" i="2"/>
  <c r="L581" i="2"/>
  <c r="L593" i="2"/>
  <c r="L606" i="2"/>
  <c r="L618" i="2"/>
  <c r="L631" i="2"/>
  <c r="L645" i="2"/>
  <c r="L657" i="2"/>
  <c r="L670" i="2"/>
  <c r="L682" i="2"/>
  <c r="L695" i="2"/>
  <c r="L709" i="2"/>
  <c r="L721" i="2"/>
  <c r="L734" i="2"/>
  <c r="L746" i="2"/>
  <c r="L759" i="2"/>
  <c r="L773" i="2"/>
  <c r="L785" i="2"/>
  <c r="L798" i="2"/>
  <c r="L810" i="2"/>
  <c r="L823" i="2"/>
  <c r="L837" i="2"/>
  <c r="L849" i="2"/>
  <c r="L862" i="2"/>
  <c r="L874" i="2"/>
  <c r="L887" i="2"/>
  <c r="L901" i="2"/>
  <c r="L913" i="2"/>
  <c r="L926" i="2"/>
  <c r="L937" i="2"/>
  <c r="L948" i="2"/>
  <c r="L958" i="2"/>
  <c r="L969" i="2"/>
  <c r="L980" i="2"/>
  <c r="L990" i="2"/>
  <c r="L1001" i="2"/>
  <c r="L1012" i="2"/>
  <c r="L1021" i="2"/>
  <c r="L1029" i="2"/>
  <c r="L1037" i="2"/>
  <c r="L1045" i="2"/>
  <c r="L1053" i="2"/>
  <c r="L6" i="2"/>
  <c r="L18" i="2"/>
  <c r="L31" i="2"/>
  <c r="L45" i="2"/>
  <c r="L57" i="2"/>
  <c r="L70" i="2"/>
  <c r="L82" i="2"/>
  <c r="L95" i="2"/>
  <c r="L109" i="2"/>
  <c r="L121" i="2"/>
  <c r="L134" i="2"/>
  <c r="L13" i="2"/>
  <c r="L25" i="2"/>
  <c r="L38" i="2"/>
  <c r="L50" i="2"/>
  <c r="L63" i="2"/>
  <c r="L77" i="2"/>
  <c r="L89" i="2"/>
  <c r="L102" i="2"/>
  <c r="L114" i="2"/>
  <c r="L127" i="2"/>
  <c r="L141" i="2"/>
  <c r="L153" i="2"/>
  <c r="L166" i="2"/>
  <c r="L178" i="2"/>
  <c r="L191" i="2"/>
  <c r="L205" i="2"/>
  <c r="L217" i="2"/>
  <c r="L230" i="2"/>
  <c r="L242" i="2"/>
  <c r="L255" i="2"/>
  <c r="L269" i="2"/>
  <c r="L281" i="2"/>
  <c r="L294" i="2"/>
  <c r="L306" i="2"/>
  <c r="L319" i="2"/>
  <c r="L333" i="2"/>
  <c r="L345" i="2"/>
  <c r="L358" i="2"/>
  <c r="L370" i="2"/>
  <c r="L383" i="2"/>
  <c r="L397" i="2"/>
  <c r="L409" i="2"/>
  <c r="L422" i="2"/>
  <c r="L434" i="2"/>
  <c r="L447" i="2"/>
  <c r="L461" i="2"/>
  <c r="L473" i="2"/>
  <c r="L486" i="2"/>
  <c r="L498" i="2"/>
  <c r="L511" i="2"/>
  <c r="L525" i="2"/>
  <c r="L537" i="2"/>
  <c r="L550" i="2"/>
  <c r="L562" i="2"/>
  <c r="L575" i="2"/>
  <c r="L589" i="2"/>
  <c r="L601" i="2"/>
  <c r="L614" i="2"/>
  <c r="L626" i="2"/>
  <c r="L639" i="2"/>
  <c r="L653" i="2"/>
  <c r="L665" i="2"/>
  <c r="L678" i="2"/>
  <c r="L690" i="2"/>
  <c r="L703" i="2"/>
  <c r="L717" i="2"/>
  <c r="L729" i="2"/>
  <c r="L742" i="2"/>
  <c r="L754" i="2"/>
  <c r="L767" i="2"/>
  <c r="L781" i="2"/>
  <c r="L793" i="2"/>
  <c r="L806" i="2"/>
  <c r="L818" i="2"/>
  <c r="L831" i="2"/>
  <c r="L845" i="2"/>
  <c r="L857" i="2"/>
  <c r="L870" i="2"/>
  <c r="L882" i="2"/>
  <c r="L895" i="2"/>
  <c r="L909" i="2"/>
  <c r="L921" i="2"/>
  <c r="L933" i="2"/>
  <c r="L943" i="2"/>
  <c r="L954" i="2"/>
  <c r="L965" i="2"/>
  <c r="L975" i="2"/>
  <c r="L986" i="2"/>
  <c r="L997" i="2"/>
  <c r="L1007" i="2"/>
  <c r="L1018" i="2"/>
  <c r="L1026" i="2"/>
  <c r="L1034" i="2"/>
  <c r="L1042" i="2"/>
  <c r="L1050" i="2"/>
  <c r="L1058" i="2"/>
  <c r="L1066" i="2"/>
  <c r="L1074" i="2"/>
  <c r="L1082" i="2"/>
  <c r="L1090" i="2"/>
  <c r="L1098" i="2"/>
  <c r="L1106" i="2"/>
  <c r="L1114" i="2"/>
  <c r="L1122" i="2"/>
  <c r="L1130" i="2"/>
  <c r="L1138" i="2"/>
  <c r="L1146" i="2"/>
  <c r="L1154" i="2"/>
  <c r="L1162" i="2"/>
  <c r="L1170" i="2"/>
  <c r="L1178" i="2"/>
  <c r="L1186" i="2"/>
  <c r="L1194" i="2"/>
  <c r="L1202" i="2"/>
  <c r="L1210" i="2"/>
  <c r="L1218" i="2"/>
  <c r="L1226" i="2"/>
  <c r="L1234" i="2"/>
  <c r="L1242" i="2"/>
  <c r="L1250" i="2"/>
  <c r="L1258" i="2"/>
  <c r="L1266" i="2"/>
  <c r="L1274" i="2"/>
  <c r="L1282" i="2"/>
  <c r="L1290" i="2"/>
  <c r="L1298" i="2"/>
  <c r="L1306" i="2"/>
  <c r="L1314" i="2"/>
  <c r="L1322" i="2"/>
  <c r="L1330" i="2"/>
  <c r="L1338" i="2"/>
  <c r="L1346" i="2"/>
  <c r="L1354" i="2"/>
  <c r="L1362" i="2"/>
  <c r="L1370" i="2"/>
  <c r="L1378" i="2"/>
  <c r="L1386" i="2"/>
  <c r="L7" i="2"/>
  <c r="L26" i="2"/>
  <c r="L47" i="2"/>
  <c r="L66" i="2"/>
  <c r="L87" i="2"/>
  <c r="L110" i="2"/>
  <c r="L129" i="2"/>
  <c r="L149" i="2"/>
  <c r="L165" i="2"/>
  <c r="L182" i="2"/>
  <c r="L199" i="2"/>
  <c r="L215" i="2"/>
  <c r="L233" i="2"/>
  <c r="L250" i="2"/>
  <c r="L266" i="2"/>
  <c r="L285" i="2"/>
  <c r="L302" i="2"/>
  <c r="L318" i="2"/>
  <c r="L335" i="2"/>
  <c r="L353" i="2"/>
  <c r="L369" i="2"/>
  <c r="L386" i="2"/>
  <c r="L405" i="2"/>
  <c r="L421" i="2"/>
  <c r="L438" i="2"/>
  <c r="L455" i="2"/>
  <c r="L471" i="2"/>
  <c r="L489" i="2"/>
  <c r="L506" i="2"/>
  <c r="L522" i="2"/>
  <c r="L541" i="2"/>
  <c r="L558" i="2"/>
  <c r="L574" i="2"/>
  <c r="L591" i="2"/>
  <c r="L609" i="2"/>
  <c r="L625" i="2"/>
  <c r="L642" i="2"/>
  <c r="L661" i="2"/>
  <c r="L677" i="2"/>
  <c r="L694" i="2"/>
  <c r="L711" i="2"/>
  <c r="L727" i="2"/>
  <c r="L745" i="2"/>
  <c r="L762" i="2"/>
  <c r="L778" i="2"/>
  <c r="L797" i="2"/>
  <c r="L814" i="2"/>
  <c r="L830" i="2"/>
  <c r="L847" i="2"/>
  <c r="L865" i="2"/>
  <c r="L881" i="2"/>
  <c r="L898" i="2"/>
  <c r="L917" i="2"/>
  <c r="L932" i="2"/>
  <c r="L946" i="2"/>
  <c r="L961" i="2"/>
  <c r="L974" i="2"/>
  <c r="L989" i="2"/>
  <c r="L1004" i="2"/>
  <c r="L1017" i="2"/>
  <c r="L1028" i="2"/>
  <c r="L1039" i="2"/>
  <c r="L1049" i="2"/>
  <c r="L1060" i="2"/>
  <c r="L1069" i="2"/>
  <c r="L1078" i="2"/>
  <c r="L1087" i="2"/>
  <c r="L1096" i="2"/>
  <c r="L1105" i="2"/>
  <c r="L1115" i="2"/>
  <c r="L1124" i="2"/>
  <c r="L1133" i="2"/>
  <c r="L1142" i="2"/>
  <c r="L1151" i="2"/>
  <c r="L1160" i="2"/>
  <c r="L1169" i="2"/>
  <c r="L1179" i="2"/>
  <c r="L1188" i="2"/>
  <c r="L1197" i="2"/>
  <c r="L1206" i="2"/>
  <c r="L1215" i="2"/>
  <c r="L1224" i="2"/>
  <c r="L1233" i="2"/>
  <c r="L1243" i="2"/>
  <c r="L1252" i="2"/>
  <c r="L1261" i="2"/>
  <c r="L1270" i="2"/>
  <c r="L1279" i="2"/>
  <c r="L1288" i="2"/>
  <c r="L1297" i="2"/>
  <c r="L1307" i="2"/>
  <c r="L1316" i="2"/>
  <c r="L1325" i="2"/>
  <c r="L1334" i="2"/>
  <c r="L1343" i="2"/>
  <c r="L1352" i="2"/>
  <c r="L1361" i="2"/>
  <c r="L1371" i="2"/>
  <c r="L1380" i="2"/>
  <c r="L1389" i="2"/>
  <c r="L1397" i="2"/>
  <c r="L1405" i="2"/>
  <c r="L1413" i="2"/>
  <c r="L1421" i="2"/>
  <c r="L1429" i="2"/>
  <c r="L1437" i="2"/>
  <c r="L1445" i="2"/>
  <c r="L1453" i="2"/>
  <c r="L1461" i="2"/>
  <c r="L1469" i="2"/>
  <c r="L1477" i="2"/>
  <c r="L1485" i="2"/>
  <c r="L1493" i="2"/>
  <c r="L1501" i="2"/>
  <c r="L629" i="2"/>
  <c r="L833" i="2"/>
  <c r="L885" i="2"/>
  <c r="L918" i="2"/>
  <c r="L949" i="2"/>
  <c r="L977" i="2"/>
  <c r="L1005" i="2"/>
  <c r="L1030" i="2"/>
  <c r="L1051" i="2"/>
  <c r="L1061" i="2"/>
  <c r="L1079" i="2"/>
  <c r="L1097" i="2"/>
  <c r="L1116" i="2"/>
  <c r="L1134" i="2"/>
  <c r="L1152" i="2"/>
  <c r="L1171" i="2"/>
  <c r="L1189" i="2"/>
  <c r="L1198" i="2"/>
  <c r="L1216" i="2"/>
  <c r="L1235" i="2"/>
  <c r="L1253" i="2"/>
  <c r="L1271" i="2"/>
  <c r="L1289" i="2"/>
  <c r="L1308" i="2"/>
  <c r="L1326" i="2"/>
  <c r="L1344" i="2"/>
  <c r="L1363" i="2"/>
  <c r="L1381" i="2"/>
  <c r="L1390" i="2"/>
  <c r="L1406" i="2"/>
  <c r="L1422" i="2"/>
  <c r="L1438" i="2"/>
  <c r="L1446" i="2"/>
  <c r="L1462" i="2"/>
  <c r="L1478" i="2"/>
  <c r="L1486" i="2"/>
  <c r="L1502" i="2"/>
  <c r="L33" i="2"/>
  <c r="L53" i="2"/>
  <c r="L93" i="2"/>
  <c r="L135" i="2"/>
  <c r="L169" i="2"/>
  <c r="L202" i="2"/>
  <c r="L238" i="2"/>
  <c r="L271" i="2"/>
  <c r="L305" i="2"/>
  <c r="L341" i="2"/>
  <c r="L374" i="2"/>
  <c r="L407" i="2"/>
  <c r="L458" i="2"/>
  <c r="L494" i="2"/>
  <c r="L510" i="2"/>
  <c r="L527" i="2"/>
  <c r="L545" i="2"/>
  <c r="L561" i="2"/>
  <c r="L578" i="2"/>
  <c r="L597" i="2"/>
  <c r="L613" i="2"/>
  <c r="L630" i="2"/>
  <c r="L647" i="2"/>
  <c r="L663" i="2"/>
  <c r="L681" i="2"/>
  <c r="L698" i="2"/>
  <c r="L714" i="2"/>
  <c r="L733" i="2"/>
  <c r="L750" i="2"/>
  <c r="L766" i="2"/>
  <c r="L783" i="2"/>
  <c r="L801" i="2"/>
  <c r="L817" i="2"/>
  <c r="L834" i="2"/>
  <c r="L853" i="2"/>
  <c r="L869" i="2"/>
  <c r="L886" i="2"/>
  <c r="L9" i="2"/>
  <c r="L29" i="2"/>
  <c r="L49" i="2"/>
  <c r="L71" i="2"/>
  <c r="L90" i="2"/>
  <c r="L111" i="2"/>
  <c r="L130" i="2"/>
  <c r="L150" i="2"/>
  <c r="L167" i="2"/>
  <c r="L185" i="2"/>
  <c r="L201" i="2"/>
  <c r="L218" i="2"/>
  <c r="L237" i="2"/>
  <c r="L253" i="2"/>
  <c r="L270" i="2"/>
  <c r="L287" i="2"/>
  <c r="L303" i="2"/>
  <c r="L321" i="2"/>
  <c r="L338" i="2"/>
  <c r="L354" i="2"/>
  <c r="L373" i="2"/>
  <c r="L390" i="2"/>
  <c r="L406" i="2"/>
  <c r="L423" i="2"/>
  <c r="L441" i="2"/>
  <c r="L457" i="2"/>
  <c r="L474" i="2"/>
  <c r="L493" i="2"/>
  <c r="L509" i="2"/>
  <c r="L526" i="2"/>
  <c r="L543" i="2"/>
  <c r="L559" i="2"/>
  <c r="L577" i="2"/>
  <c r="L594" i="2"/>
  <c r="L610" i="2"/>
  <c r="L646" i="2"/>
  <c r="L662" i="2"/>
  <c r="L679" i="2"/>
  <c r="L697" i="2"/>
  <c r="L713" i="2"/>
  <c r="L730" i="2"/>
  <c r="L749" i="2"/>
  <c r="L765" i="2"/>
  <c r="L782" i="2"/>
  <c r="L799" i="2"/>
  <c r="L815" i="2"/>
  <c r="L850" i="2"/>
  <c r="L866" i="2"/>
  <c r="L902" i="2"/>
  <c r="L934" i="2"/>
  <c r="L962" i="2"/>
  <c r="L991" i="2"/>
  <c r="L1019" i="2"/>
  <c r="L1040" i="2"/>
  <c r="L1070" i="2"/>
  <c r="L1088" i="2"/>
  <c r="L1107" i="2"/>
  <c r="L1125" i="2"/>
  <c r="L1143" i="2"/>
  <c r="L1161" i="2"/>
  <c r="L1180" i="2"/>
  <c r="L1207" i="2"/>
  <c r="L1225" i="2"/>
  <c r="L1244" i="2"/>
  <c r="L1262" i="2"/>
  <c r="L1280" i="2"/>
  <c r="L1299" i="2"/>
  <c r="L1317" i="2"/>
  <c r="L1335" i="2"/>
  <c r="L1353" i="2"/>
  <c r="L1372" i="2"/>
  <c r="L1398" i="2"/>
  <c r="L1414" i="2"/>
  <c r="L1430" i="2"/>
  <c r="L1454" i="2"/>
  <c r="L1470" i="2"/>
  <c r="L1494" i="2"/>
  <c r="L10" i="2"/>
  <c r="L73" i="2"/>
  <c r="L113" i="2"/>
  <c r="L151" i="2"/>
  <c r="L186" i="2"/>
  <c r="L221" i="2"/>
  <c r="L254" i="2"/>
  <c r="L289" i="2"/>
  <c r="L322" i="2"/>
  <c r="L357" i="2"/>
  <c r="L391" i="2"/>
  <c r="L425" i="2"/>
  <c r="L442" i="2"/>
  <c r="L477" i="2"/>
  <c r="L21" i="2"/>
  <c r="L39" i="2"/>
  <c r="L61" i="2"/>
  <c r="L79" i="2"/>
  <c r="L101" i="2"/>
  <c r="L122" i="2"/>
  <c r="L142" i="2"/>
  <c r="L159" i="2"/>
  <c r="L175" i="2"/>
  <c r="L193" i="2"/>
  <c r="L210" i="2"/>
  <c r="L226" i="2"/>
  <c r="L245" i="2"/>
  <c r="L262" i="2"/>
  <c r="L278" i="2"/>
  <c r="L295" i="2"/>
  <c r="L313" i="2"/>
  <c r="L329" i="2"/>
  <c r="L346" i="2"/>
  <c r="L365" i="2"/>
  <c r="L381" i="2"/>
  <c r="L398" i="2"/>
  <c r="L415" i="2"/>
  <c r="L431" i="2"/>
  <c r="L449" i="2"/>
  <c r="L466" i="2"/>
  <c r="L482" i="2"/>
  <c r="L501" i="2"/>
  <c r="L518" i="2"/>
  <c r="L534" i="2"/>
  <c r="L551" i="2"/>
  <c r="L569" i="2"/>
  <c r="L585" i="2"/>
  <c r="L602" i="2"/>
  <c r="L621" i="2"/>
  <c r="L637" i="2"/>
  <c r="L654" i="2"/>
  <c r="L671" i="2"/>
  <c r="L687" i="2"/>
  <c r="L705" i="2"/>
  <c r="L722" i="2"/>
  <c r="L738" i="2"/>
  <c r="L757" i="2"/>
  <c r="L774" i="2"/>
  <c r="L790" i="2"/>
  <c r="L807" i="2"/>
  <c r="L825" i="2"/>
  <c r="L841" i="2"/>
  <c r="L858" i="2"/>
  <c r="L877" i="2"/>
  <c r="L893" i="2"/>
  <c r="L910" i="2"/>
  <c r="L927" i="2"/>
  <c r="L941" i="2"/>
  <c r="L956" i="2"/>
  <c r="L970" i="2"/>
  <c r="L983" i="2"/>
  <c r="L998" i="2"/>
  <c r="L1013" i="2"/>
  <c r="L1024" i="2"/>
  <c r="L1035" i="2"/>
  <c r="L1046" i="2"/>
  <c r="L1056" i="2"/>
  <c r="L1065" i="2"/>
  <c r="L1075" i="2"/>
  <c r="L1084" i="2"/>
  <c r="L1093" i="2"/>
  <c r="L1102" i="2"/>
  <c r="L1111" i="2"/>
  <c r="L1120" i="2"/>
  <c r="L1129" i="2"/>
  <c r="L1139" i="2"/>
  <c r="L1148" i="2"/>
  <c r="L1157" i="2"/>
  <c r="L1166" i="2"/>
  <c r="L1175" i="2"/>
  <c r="L1184" i="2"/>
  <c r="L1193" i="2"/>
  <c r="L1203" i="2"/>
  <c r="L1212" i="2"/>
  <c r="L1221" i="2"/>
  <c r="L1230" i="2"/>
  <c r="L1239" i="2"/>
  <c r="L1248" i="2"/>
  <c r="L1257" i="2"/>
  <c r="L1267" i="2"/>
  <c r="L1276" i="2"/>
  <c r="L1285" i="2"/>
  <c r="L1294" i="2"/>
  <c r="L1303" i="2"/>
  <c r="L1312" i="2"/>
  <c r="L1321" i="2"/>
  <c r="L1331" i="2"/>
  <c r="L1340" i="2"/>
  <c r="L1349" i="2"/>
  <c r="L1358" i="2"/>
  <c r="L1367" i="2"/>
  <c r="L1376" i="2"/>
  <c r="L1385" i="2"/>
  <c r="L1394" i="2"/>
  <c r="L1402" i="2"/>
  <c r="L1410" i="2"/>
  <c r="L1418" i="2"/>
  <c r="L1426" i="2"/>
  <c r="L1434" i="2"/>
  <c r="L1442" i="2"/>
  <c r="L1450" i="2"/>
  <c r="L1458" i="2"/>
  <c r="L1466" i="2"/>
  <c r="L1474" i="2"/>
  <c r="L1482" i="2"/>
  <c r="L1490" i="2"/>
  <c r="L1498" i="2"/>
  <c r="L22" i="2"/>
  <c r="L41" i="2"/>
  <c r="L62" i="2"/>
  <c r="L85" i="2"/>
  <c r="L103" i="2"/>
  <c r="L125" i="2"/>
  <c r="L143" i="2"/>
  <c r="L161" i="2"/>
  <c r="L177" i="2"/>
  <c r="L194" i="2"/>
  <c r="L213" i="2"/>
  <c r="L229" i="2"/>
  <c r="L246" i="2"/>
  <c r="L263" i="2"/>
  <c r="L279" i="2"/>
  <c r="L297" i="2"/>
  <c r="L314" i="2"/>
  <c r="L330" i="2"/>
  <c r="L349" i="2"/>
  <c r="L366" i="2"/>
  <c r="L382" i="2"/>
  <c r="L399" i="2"/>
  <c r="L417" i="2"/>
  <c r="L433" i="2"/>
  <c r="L450" i="2"/>
  <c r="L469" i="2"/>
  <c r="L485" i="2"/>
  <c r="L502" i="2"/>
  <c r="L519" i="2"/>
  <c r="L535" i="2"/>
  <c r="L553" i="2"/>
  <c r="L570" i="2"/>
  <c r="L586" i="2"/>
  <c r="L605" i="2"/>
  <c r="L622" i="2"/>
  <c r="L638" i="2"/>
  <c r="L655" i="2"/>
  <c r="L673" i="2"/>
  <c r="L689" i="2"/>
  <c r="L706" i="2"/>
  <c r="L725" i="2"/>
  <c r="L741" i="2"/>
  <c r="L758" i="2"/>
  <c r="L775" i="2"/>
  <c r="L791" i="2"/>
  <c r="L809" i="2"/>
  <c r="L826" i="2"/>
  <c r="L842" i="2"/>
  <c r="L861" i="2"/>
  <c r="L878" i="2"/>
  <c r="L894" i="2"/>
  <c r="L911" i="2"/>
  <c r="L929" i="2"/>
  <c r="L942" i="2"/>
  <c r="L957" i="2"/>
  <c r="L972" i="2"/>
  <c r="L985" i="2"/>
  <c r="L999" i="2"/>
  <c r="L1014" i="2"/>
  <c r="L1025" i="2"/>
  <c r="L1036" i="2"/>
  <c r="L1047" i="2"/>
  <c r="L1057" i="2"/>
  <c r="L1067" i="2"/>
  <c r="L1076" i="2"/>
  <c r="L1085" i="2"/>
  <c r="L1094" i="2"/>
  <c r="L1103" i="2"/>
  <c r="L1112" i="2"/>
  <c r="L1121" i="2"/>
  <c r="L1131" i="2"/>
  <c r="L1140" i="2"/>
  <c r="L1149" i="2"/>
  <c r="L1158" i="2"/>
  <c r="L1167" i="2"/>
  <c r="L1176" i="2"/>
  <c r="L1185" i="2"/>
  <c r="L1195" i="2"/>
  <c r="L1204" i="2"/>
  <c r="L1213" i="2"/>
  <c r="L1222" i="2"/>
  <c r="L1231" i="2"/>
  <c r="L1240" i="2"/>
  <c r="L1249" i="2"/>
  <c r="L1259" i="2"/>
  <c r="L1268" i="2"/>
  <c r="L1277" i="2"/>
  <c r="L1286" i="2"/>
  <c r="L1295" i="2"/>
  <c r="L1304" i="2"/>
  <c r="L1313" i="2"/>
  <c r="L1323" i="2"/>
  <c r="L1332" i="2"/>
  <c r="L1341" i="2"/>
  <c r="L1350" i="2"/>
  <c r="L1359" i="2"/>
  <c r="L1368" i="2"/>
  <c r="L1377" i="2"/>
  <c r="L1387" i="2"/>
  <c r="L1395" i="2"/>
  <c r="L1403" i="2"/>
  <c r="L1411" i="2"/>
  <c r="L1419" i="2"/>
  <c r="L1427" i="2"/>
  <c r="L1435" i="2"/>
  <c r="L1443" i="2"/>
  <c r="L1451" i="2"/>
  <c r="L1459" i="2"/>
  <c r="L1467" i="2"/>
  <c r="L1475" i="2"/>
  <c r="L1483" i="2"/>
  <c r="L1491" i="2"/>
  <c r="L1499" i="2"/>
  <c r="L23" i="2"/>
  <c r="L46" i="2"/>
  <c r="L65" i="2"/>
  <c r="L86" i="2"/>
  <c r="L105" i="2"/>
  <c r="L126" i="2"/>
  <c r="L146" i="2"/>
  <c r="L162" i="2"/>
  <c r="L181" i="2"/>
  <c r="L198" i="2"/>
  <c r="L214" i="2"/>
  <c r="L231" i="2"/>
  <c r="L249" i="2"/>
  <c r="L265" i="2"/>
  <c r="L282" i="2"/>
  <c r="L301" i="2"/>
  <c r="L317" i="2"/>
  <c r="L334" i="2"/>
  <c r="L351" i="2"/>
  <c r="L367" i="2"/>
  <c r="L385" i="2"/>
  <c r="L402" i="2"/>
  <c r="L418" i="2"/>
  <c r="L437" i="2"/>
  <c r="L454" i="2"/>
  <c r="L470" i="2"/>
  <c r="L487" i="2"/>
  <c r="L505" i="2"/>
  <c r="L521" i="2"/>
  <c r="L14" i="2"/>
  <c r="L97" i="2"/>
  <c r="L173" i="2"/>
  <c r="L239" i="2"/>
  <c r="L309" i="2"/>
  <c r="L377" i="2"/>
  <c r="L445" i="2"/>
  <c r="L513" i="2"/>
  <c r="L565" i="2"/>
  <c r="L607" i="2"/>
  <c r="L650" i="2"/>
  <c r="L701" i="2"/>
  <c r="L743" i="2"/>
  <c r="L789" i="2"/>
  <c r="L838" i="2"/>
  <c r="L879" i="2"/>
  <c r="L919" i="2"/>
  <c r="L950" i="2"/>
  <c r="L978" i="2"/>
  <c r="L1006" i="2"/>
  <c r="L1031" i="2"/>
  <c r="L1052" i="2"/>
  <c r="L1071" i="2"/>
  <c r="L1089" i="2"/>
  <c r="L1108" i="2"/>
  <c r="L1126" i="2"/>
  <c r="L1144" i="2"/>
  <c r="L1163" i="2"/>
  <c r="L1181" i="2"/>
  <c r="L1199" i="2"/>
  <c r="L1217" i="2"/>
  <c r="L1236" i="2"/>
  <c r="L1254" i="2"/>
  <c r="L1272" i="2"/>
  <c r="L1291" i="2"/>
  <c r="L1309" i="2"/>
  <c r="L1327" i="2"/>
  <c r="L1345" i="2"/>
  <c r="L1364" i="2"/>
  <c r="L1382" i="2"/>
  <c r="L1399" i="2"/>
  <c r="L1415" i="2"/>
  <c r="L1431" i="2"/>
  <c r="L1447" i="2"/>
  <c r="L1463" i="2"/>
  <c r="L1479" i="2"/>
  <c r="L1495" i="2"/>
  <c r="L889" i="2"/>
  <c r="L922" i="2"/>
  <c r="L951" i="2"/>
  <c r="L981" i="2"/>
  <c r="L1009" i="2"/>
  <c r="L1032" i="2"/>
  <c r="L1054" i="2"/>
  <c r="L1072" i="2"/>
  <c r="L1091" i="2"/>
  <c r="L1109" i="2"/>
  <c r="L1127" i="2"/>
  <c r="L1145" i="2"/>
  <c r="L1164" i="2"/>
  <c r="L1182" i="2"/>
  <c r="L1200" i="2"/>
  <c r="L1219" i="2"/>
  <c r="L1237" i="2"/>
  <c r="L1255" i="2"/>
  <c r="L1273" i="2"/>
  <c r="L1292" i="2"/>
  <c r="L1310" i="2"/>
  <c r="L1328" i="2"/>
  <c r="L1347" i="2"/>
  <c r="L1365" i="2"/>
  <c r="L1383" i="2"/>
  <c r="L1400" i="2"/>
  <c r="L1416" i="2"/>
  <c r="L1432" i="2"/>
  <c r="L1448" i="2"/>
  <c r="L1464" i="2"/>
  <c r="L1480" i="2"/>
  <c r="L1496" i="2"/>
  <c r="L34" i="2"/>
  <c r="L117" i="2"/>
  <c r="L189" i="2"/>
  <c r="L257" i="2"/>
  <c r="L326" i="2"/>
  <c r="L393" i="2"/>
  <c r="L462" i="2"/>
  <c r="L530" i="2"/>
  <c r="L573" i="2"/>
  <c r="L666" i="2"/>
  <c r="L710" i="2"/>
  <c r="L753" i="2"/>
  <c r="L802" i="2"/>
  <c r="L846" i="2"/>
  <c r="L925" i="2"/>
  <c r="L953" i="2"/>
  <c r="L1010" i="2"/>
  <c r="L1055" i="2"/>
  <c r="L1110" i="2"/>
  <c r="L1165" i="2"/>
  <c r="L1220" i="2"/>
  <c r="L1275" i="2"/>
  <c r="L1329" i="2"/>
  <c r="L1401" i="2"/>
  <c r="L1465" i="2"/>
  <c r="L118" i="2"/>
  <c r="L327" i="2"/>
  <c r="L533" i="2"/>
  <c r="L623" i="2"/>
  <c r="L761" i="2"/>
  <c r="L897" i="2"/>
  <c r="L988" i="2"/>
  <c r="L1059" i="2"/>
  <c r="L1113" i="2"/>
  <c r="L1168" i="2"/>
  <c r="L1223" i="2"/>
  <c r="L1278" i="2"/>
  <c r="L1315" i="2"/>
  <c r="L1369" i="2"/>
  <c r="L1420" i="2"/>
  <c r="L1468" i="2"/>
  <c r="L54" i="2"/>
  <c r="L274" i="2"/>
  <c r="L342" i="2"/>
  <c r="L479" i="2"/>
  <c r="L633" i="2"/>
  <c r="L719" i="2"/>
  <c r="L855" i="2"/>
  <c r="L964" i="2"/>
  <c r="L1041" i="2"/>
  <c r="L1099" i="2"/>
  <c r="L1153" i="2"/>
  <c r="L1208" i="2"/>
  <c r="L1263" i="2"/>
  <c r="L1318" i="2"/>
  <c r="L1391" i="2"/>
  <c r="L1439" i="2"/>
  <c r="L15" i="2"/>
  <c r="L98" i="2"/>
  <c r="L174" i="2"/>
  <c r="L241" i="2"/>
  <c r="L310" i="2"/>
  <c r="L378" i="2"/>
  <c r="L446" i="2"/>
  <c r="L514" i="2"/>
  <c r="L566" i="2"/>
  <c r="L615" i="2"/>
  <c r="L658" i="2"/>
  <c r="L702" i="2"/>
  <c r="L751" i="2"/>
  <c r="L794" i="2"/>
  <c r="L839" i="2"/>
  <c r="L617" i="2"/>
  <c r="L890" i="2"/>
  <c r="L982" i="2"/>
  <c r="L1033" i="2"/>
  <c r="L1092" i="2"/>
  <c r="L1128" i="2"/>
  <c r="L1183" i="2"/>
  <c r="L1238" i="2"/>
  <c r="L1293" i="2"/>
  <c r="L1348" i="2"/>
  <c r="L1384" i="2"/>
  <c r="L1433" i="2"/>
  <c r="L1497" i="2"/>
  <c r="L190" i="2"/>
  <c r="L669" i="2"/>
  <c r="L854" i="2"/>
  <c r="L959" i="2"/>
  <c r="L1038" i="2"/>
  <c r="L1095" i="2"/>
  <c r="L1132" i="2"/>
  <c r="L1187" i="2"/>
  <c r="L1241" i="2"/>
  <c r="L1296" i="2"/>
  <c r="L1351" i="2"/>
  <c r="L1404" i="2"/>
  <c r="L1436" i="2"/>
  <c r="L1484" i="2"/>
  <c r="L206" i="2"/>
  <c r="L583" i="2"/>
  <c r="L769" i="2"/>
  <c r="L935" i="2"/>
  <c r="L1020" i="2"/>
  <c r="L1080" i="2"/>
  <c r="L1135" i="2"/>
  <c r="L1190" i="2"/>
  <c r="L1245" i="2"/>
  <c r="L1300" i="2"/>
  <c r="L1355" i="2"/>
  <c r="L1423" i="2"/>
  <c r="L1471" i="2"/>
  <c r="L58" i="2"/>
  <c r="L138" i="2"/>
  <c r="L207" i="2"/>
  <c r="L277" i="2"/>
  <c r="L343" i="2"/>
  <c r="L413" i="2"/>
  <c r="L481" i="2"/>
  <c r="L546" i="2"/>
  <c r="L590" i="2"/>
  <c r="L634" i="2"/>
  <c r="L685" i="2"/>
  <c r="L726" i="2"/>
  <c r="L770" i="2"/>
  <c r="L821" i="2"/>
  <c r="L863" i="2"/>
  <c r="L905" i="2"/>
  <c r="L938" i="2"/>
  <c r="L966" i="2"/>
  <c r="L994" i="2"/>
  <c r="L1022" i="2"/>
  <c r="L1043" i="2"/>
  <c r="L1063" i="2"/>
  <c r="L1081" i="2"/>
  <c r="L1100" i="2"/>
  <c r="L1118" i="2"/>
  <c r="L1136" i="2"/>
  <c r="L1155" i="2"/>
  <c r="L1173" i="2"/>
  <c r="L1191" i="2"/>
  <c r="L1209" i="2"/>
  <c r="L1228" i="2"/>
  <c r="L1246" i="2"/>
  <c r="L1264" i="2"/>
  <c r="L1283" i="2"/>
  <c r="L1301" i="2"/>
  <c r="L1319" i="2"/>
  <c r="L1337" i="2"/>
  <c r="L1356" i="2"/>
  <c r="L1374" i="2"/>
  <c r="L1392" i="2"/>
  <c r="L1408" i="2"/>
  <c r="L1424" i="2"/>
  <c r="L1440" i="2"/>
  <c r="L1456" i="2"/>
  <c r="L1472" i="2"/>
  <c r="L1488" i="2"/>
  <c r="L74" i="2"/>
  <c r="L154" i="2"/>
  <c r="L223" i="2"/>
  <c r="L290" i="2"/>
  <c r="L359" i="2"/>
  <c r="L429" i="2"/>
  <c r="L495" i="2"/>
  <c r="L549" i="2"/>
  <c r="L598" i="2"/>
  <c r="L641" i="2"/>
  <c r="L686" i="2"/>
  <c r="L735" i="2"/>
  <c r="L777" i="2"/>
  <c r="L822" i="2"/>
  <c r="L871" i="2"/>
  <c r="L906" i="2"/>
  <c r="L940" i="2"/>
  <c r="L967" i="2"/>
  <c r="L996" i="2"/>
  <c r="L1023" i="2"/>
  <c r="L1044" i="2"/>
  <c r="L1064" i="2"/>
  <c r="L1083" i="2"/>
  <c r="L1101" i="2"/>
  <c r="L1119" i="2"/>
  <c r="L1137" i="2"/>
  <c r="L1156" i="2"/>
  <c r="L1174" i="2"/>
  <c r="L1192" i="2"/>
  <c r="L1211" i="2"/>
  <c r="L1229" i="2"/>
  <c r="L1247" i="2"/>
  <c r="L1265" i="2"/>
  <c r="L1284" i="2"/>
  <c r="L1302" i="2"/>
  <c r="L1320" i="2"/>
  <c r="L1339" i="2"/>
  <c r="L1357" i="2"/>
  <c r="L1375" i="2"/>
  <c r="L1393" i="2"/>
  <c r="L1409" i="2"/>
  <c r="L1425" i="2"/>
  <c r="L1441" i="2"/>
  <c r="L1457" i="2"/>
  <c r="L1473" i="2"/>
  <c r="L1489" i="2"/>
  <c r="L78" i="2"/>
  <c r="L157" i="2"/>
  <c r="L225" i="2"/>
  <c r="L293" i="2"/>
  <c r="L361" i="2"/>
  <c r="L430" i="2"/>
  <c r="L497" i="2"/>
  <c r="L557" i="2"/>
  <c r="L599" i="2"/>
  <c r="L649" i="2"/>
  <c r="L693" i="2"/>
  <c r="L737" i="2"/>
  <c r="L786" i="2"/>
  <c r="L829" i="2"/>
  <c r="L873" i="2"/>
  <c r="L914" i="2"/>
  <c r="L945" i="2"/>
  <c r="L973" i="2"/>
  <c r="L1002" i="2"/>
  <c r="L1027" i="2"/>
  <c r="L1048" i="2"/>
  <c r="L1068" i="2"/>
  <c r="L1086" i="2"/>
  <c r="L1104" i="2"/>
  <c r="L1123" i="2"/>
  <c r="L1141" i="2"/>
  <c r="L1159" i="2"/>
  <c r="L1177" i="2"/>
  <c r="L1196" i="2"/>
  <c r="L1214" i="2"/>
  <c r="L1232" i="2"/>
  <c r="L1251" i="2"/>
  <c r="L1269" i="2"/>
  <c r="L1287" i="2"/>
  <c r="L1305" i="2"/>
  <c r="L1324" i="2"/>
  <c r="L1342" i="2"/>
  <c r="L1360" i="2"/>
  <c r="L1379" i="2"/>
  <c r="L1396" i="2"/>
  <c r="L1412" i="2"/>
  <c r="L1428" i="2"/>
  <c r="L1444" i="2"/>
  <c r="L1460" i="2"/>
  <c r="L1476" i="2"/>
  <c r="L1492" i="2"/>
  <c r="L1073" i="2"/>
  <c r="L1147" i="2"/>
  <c r="L1201" i="2"/>
  <c r="L1256" i="2"/>
  <c r="L1311" i="2"/>
  <c r="L1366" i="2"/>
  <c r="L1417" i="2"/>
  <c r="L1449" i="2"/>
  <c r="L1481" i="2"/>
  <c r="L37" i="2"/>
  <c r="L258" i="2"/>
  <c r="L394" i="2"/>
  <c r="L463" i="2"/>
  <c r="L582" i="2"/>
  <c r="L718" i="2"/>
  <c r="L805" i="2"/>
  <c r="L930" i="2"/>
  <c r="L1015" i="2"/>
  <c r="L1077" i="2"/>
  <c r="L1150" i="2"/>
  <c r="L1205" i="2"/>
  <c r="L1260" i="2"/>
  <c r="L1333" i="2"/>
  <c r="L1388" i="2"/>
  <c r="L1452" i="2"/>
  <c r="L1500" i="2"/>
  <c r="L137" i="2"/>
  <c r="L410" i="2"/>
  <c r="L538" i="2"/>
  <c r="L674" i="2"/>
  <c r="L813" i="2"/>
  <c r="L903" i="2"/>
  <c r="L993" i="2"/>
  <c r="L1062" i="2"/>
  <c r="L1117" i="2"/>
  <c r="L1172" i="2"/>
  <c r="L1227" i="2"/>
  <c r="L1281" i="2"/>
  <c r="L1336" i="2"/>
  <c r="L1373" i="2"/>
  <c r="L1407" i="2"/>
  <c r="L1455" i="2"/>
  <c r="L1487" i="2"/>
  <c r="L2" i="2"/>
  <c r="H9" i="1"/>
  <c r="G21" i="1"/>
  <c r="I12" i="1"/>
  <c r="G20" i="1"/>
  <c r="L21" i="1"/>
  <c r="B5" i="1"/>
  <c r="G4" i="1"/>
  <c r="G6" i="1"/>
  <c r="G7" i="1"/>
  <c r="L15" i="1"/>
  <c r="D7" i="1"/>
  <c r="G3" i="1"/>
  <c r="B9" i="1"/>
  <c r="G10" i="1"/>
  <c r="D8" i="1"/>
  <c r="H2" i="1"/>
  <c r="C9" i="1"/>
  <c r="I3" i="1"/>
  <c r="I2" i="1"/>
  <c r="H4" i="1"/>
  <c r="G14" i="1"/>
  <c r="L14" i="1"/>
  <c r="G9" i="1"/>
  <c r="G18" i="1"/>
  <c r="G19" i="1"/>
  <c r="G27" i="1"/>
  <c r="B13" i="1"/>
  <c r="G28" i="1"/>
  <c r="G29" i="1"/>
  <c r="D7" i="2"/>
  <c r="G17" i="1"/>
  <c r="G23" i="1"/>
  <c r="G24" i="1"/>
  <c r="D6" i="2"/>
  <c r="D3" i="2"/>
  <c r="G30" i="1"/>
  <c r="E7" i="2"/>
  <c r="G11" i="1"/>
  <c r="G12" i="1"/>
  <c r="G15" i="1"/>
  <c r="G16" i="1"/>
  <c r="H16" i="1"/>
  <c r="D4" i="2"/>
  <c r="E6" i="2"/>
  <c r="L12" i="1"/>
  <c r="L13" i="1"/>
</calcChain>
</file>

<file path=xl/sharedStrings.xml><?xml version="1.0" encoding="utf-8"?>
<sst xmlns="http://schemas.openxmlformats.org/spreadsheetml/2006/main" count="96" uniqueCount="84">
  <si>
    <t>Value</t>
  </si>
  <si>
    <t>Mobility Measurement</t>
  </si>
  <si>
    <r>
      <t>Value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</si>
  <si>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Value</t>
    </r>
    <r>
      <rPr>
        <vertAlign val="subscript"/>
        <sz val="11"/>
        <color theme="1"/>
        <rFont val="Calibri"/>
        <family val="2"/>
        <scheme val="minor"/>
      </rPr>
      <t>2</t>
    </r>
  </si>
  <si>
    <r>
      <t>Value</t>
    </r>
    <r>
      <rPr>
        <vertAlign val="subscript"/>
        <sz val="11"/>
        <color theme="1"/>
        <rFont val="Calibri"/>
        <family val="2"/>
        <scheme val="minor"/>
      </rPr>
      <t>3</t>
    </r>
  </si>
  <si>
    <r>
      <t>T(</t>
    </r>
    <r>
      <rPr>
        <b/>
        <vertAlign val="superscript"/>
        <sz val="11"/>
        <color indexed="8"/>
        <rFont val="Calibri"/>
        <family val="2"/>
      </rPr>
      <t>o</t>
    </r>
    <r>
      <rPr>
        <b/>
        <sz val="11"/>
        <color indexed="8"/>
        <rFont val="Calibri"/>
        <family val="2"/>
      </rPr>
      <t>K)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</si>
  <si>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 xml:space="preserve">d </t>
    </r>
    <r>
      <rPr>
        <b/>
        <sz val="11"/>
        <color theme="1"/>
        <rFont val="Calibri"/>
        <family val="2"/>
        <scheme val="minor"/>
      </rPr>
      <t>(ms)</t>
    </r>
  </si>
  <si>
    <r>
      <t>k(erg/</t>
    </r>
    <r>
      <rPr>
        <b/>
        <vertAlign val="superscript"/>
        <sz val="11"/>
        <color indexed="8"/>
        <rFont val="Calibri"/>
        <family val="2"/>
      </rPr>
      <t>o</t>
    </r>
    <r>
      <rPr>
        <b/>
        <sz val="11"/>
        <color indexed="8"/>
        <rFont val="Calibri"/>
        <family val="2"/>
      </rPr>
      <t>K)</t>
    </r>
  </si>
  <si>
    <t>P(torr)</t>
  </si>
  <si>
    <r>
      <t>v</t>
    </r>
    <r>
      <rPr>
        <b/>
        <vertAlign val="subscript"/>
        <sz val="11"/>
        <color indexed="8"/>
        <rFont val="Calibri"/>
        <family val="2"/>
      </rPr>
      <t xml:space="preserve">d  </t>
    </r>
    <r>
      <rPr>
        <b/>
        <sz val="11"/>
        <color indexed="8"/>
        <rFont val="Calibri"/>
        <family val="2"/>
      </rPr>
      <t>(m s</t>
    </r>
    <r>
      <rPr>
        <b/>
        <vertAlign val="superscript"/>
        <sz val="11"/>
        <color indexed="8"/>
        <rFont val="Calibri"/>
        <family val="2"/>
      </rPr>
      <t>-1</t>
    </r>
    <r>
      <rPr>
        <b/>
        <sz val="11"/>
        <color indexed="8"/>
        <rFont val="Calibri"/>
        <family val="2"/>
      </rPr>
      <t>)</t>
    </r>
  </si>
  <si>
    <t>amu(gm)</t>
  </si>
  <si>
    <r>
      <t>N(cm</t>
    </r>
    <r>
      <rPr>
        <b/>
        <vertAlign val="superscript"/>
        <sz val="11"/>
        <color indexed="8"/>
        <rFont val="Calibri"/>
        <family val="2"/>
      </rPr>
      <t>-3</t>
    </r>
    <r>
      <rPr>
        <b/>
        <sz val="11"/>
        <color indexed="8"/>
        <rFont val="Calibri"/>
        <family val="2"/>
      </rPr>
      <t>)</t>
    </r>
  </si>
  <si>
    <r>
      <t xml:space="preserve">K </t>
    </r>
    <r>
      <rPr>
        <b/>
        <sz val="11"/>
        <color indexed="8"/>
        <rFont val="Calibri"/>
        <family val="2"/>
      </rPr>
      <t>(cm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V</t>
    </r>
    <r>
      <rPr>
        <b/>
        <vertAlign val="superscript"/>
        <sz val="11"/>
        <color indexed="8"/>
        <rFont val="Calibri"/>
        <family val="2"/>
      </rPr>
      <t>-1</t>
    </r>
    <r>
      <rPr>
        <b/>
        <sz val="11"/>
        <color indexed="8"/>
        <rFont val="Calibri"/>
        <family val="2"/>
      </rPr>
      <t>s</t>
    </r>
    <r>
      <rPr>
        <b/>
        <vertAlign val="superscript"/>
        <sz val="11"/>
        <color indexed="8"/>
        <rFont val="Calibri"/>
        <family val="2"/>
      </rPr>
      <t>-1</t>
    </r>
    <r>
      <rPr>
        <b/>
        <sz val="11"/>
        <color indexed="8"/>
        <rFont val="Calibri"/>
        <family val="2"/>
      </rPr>
      <t>)</t>
    </r>
  </si>
  <si>
    <r>
      <t>N</t>
    </r>
    <r>
      <rPr>
        <b/>
        <vertAlign val="subscript"/>
        <sz val="11"/>
        <color indexed="8"/>
        <rFont val="Calibri"/>
        <family val="2"/>
      </rPr>
      <t>0</t>
    </r>
    <r>
      <rPr>
        <b/>
        <sz val="11"/>
        <color indexed="8"/>
        <rFont val="Calibri"/>
        <family val="2"/>
      </rPr>
      <t xml:space="preserve"> (cm</t>
    </r>
    <r>
      <rPr>
        <b/>
        <vertAlign val="superscript"/>
        <sz val="11"/>
        <color indexed="8"/>
        <rFont val="Calibri"/>
        <family val="2"/>
      </rPr>
      <t>-3</t>
    </r>
    <r>
      <rPr>
        <b/>
        <sz val="11"/>
        <color indexed="8"/>
        <rFont val="Calibri"/>
        <family val="2"/>
      </rPr>
      <t>)</t>
    </r>
  </si>
  <si>
    <t>h(erg s)</t>
  </si>
  <si>
    <t>E(V/cm)</t>
  </si>
  <si>
    <r>
      <t>W</t>
    </r>
    <r>
      <rPr>
        <b/>
        <vertAlign val="subscript"/>
        <sz val="11"/>
        <color theme="1"/>
        <rFont val="Arial"/>
        <family val="2"/>
      </rPr>
      <t>D</t>
    </r>
    <r>
      <rPr>
        <b/>
        <vertAlign val="superscript"/>
        <sz val="11"/>
        <color theme="1"/>
        <rFont val="Symbol"/>
        <family val="1"/>
        <charset val="2"/>
      </rPr>
      <t>(1,1)</t>
    </r>
    <r>
      <rPr>
        <b/>
        <sz val="11"/>
        <color theme="1"/>
        <rFont val="Symbol"/>
        <family val="1"/>
        <charset val="2"/>
      </rPr>
      <t xml:space="preserve"> (A</t>
    </r>
    <r>
      <rPr>
        <b/>
        <vertAlign val="superscript"/>
        <sz val="11"/>
        <color theme="1"/>
        <rFont val="Symbol"/>
        <family val="1"/>
        <charset val="2"/>
      </rPr>
      <t>2</t>
    </r>
    <r>
      <rPr>
        <b/>
        <sz val="11"/>
        <color theme="1"/>
        <rFont val="Symbol"/>
        <family val="1"/>
        <charset val="2"/>
      </rPr>
      <t>)</t>
    </r>
  </si>
  <si>
    <t>e(C)</t>
  </si>
  <si>
    <t>E/N(Td)</t>
  </si>
  <si>
    <r>
      <t>D (cm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s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</si>
  <si>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t>e(statC)</t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</si>
  <si>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Calibri"/>
        <family val="2"/>
        <scheme val="minor"/>
      </rPr>
      <t>V(volts)</t>
    </r>
  </si>
  <si>
    <r>
      <t xml:space="preserve">W </t>
    </r>
    <r>
      <rPr>
        <b/>
        <sz val="11"/>
        <color theme="1"/>
        <rFont val="Calibri"/>
        <family val="2"/>
        <scheme val="minor"/>
      </rPr>
      <t>Correction</t>
    </r>
  </si>
  <si>
    <t>statvolt(V)</t>
  </si>
  <si>
    <t>L (cm)</t>
  </si>
  <si>
    <r>
      <t>v</t>
    </r>
    <r>
      <rPr>
        <b/>
        <vertAlign val="subscript"/>
        <sz val="11"/>
        <color indexed="8"/>
        <rFont val="Calibri"/>
        <family val="2"/>
      </rPr>
      <t>d</t>
    </r>
    <r>
      <rPr>
        <b/>
        <sz val="11"/>
        <color indexed="8"/>
        <rFont val="Calibri"/>
        <family val="2"/>
      </rPr>
      <t>/v</t>
    </r>
    <r>
      <rPr>
        <b/>
        <vertAlign val="subscript"/>
        <sz val="11"/>
        <color indexed="8"/>
        <rFont val="Calibri"/>
        <family val="2"/>
      </rPr>
      <t>T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</si>
  <si>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g</t>
    </r>
    <r>
      <rPr>
        <b/>
        <sz val="11"/>
        <color theme="1"/>
        <rFont val="Calibri"/>
        <family val="2"/>
        <scheme val="minor"/>
      </rPr>
      <t xml:space="preserve"> (ms)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</si>
  <si>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diff</t>
    </r>
    <r>
      <rPr>
        <b/>
        <sz val="11"/>
        <color theme="1"/>
        <rFont val="Calibri"/>
        <family val="2"/>
        <scheme val="minor"/>
      </rPr>
      <t xml:space="preserve"> (ms)</t>
    </r>
  </si>
  <si>
    <t>diam (cm)</t>
  </si>
  <si>
    <t>m/2kT</t>
  </si>
  <si>
    <r>
      <t>(m/2</t>
    </r>
    <r>
      <rPr>
        <b/>
        <sz val="11"/>
        <color indexed="8"/>
        <rFont val="Calibri"/>
        <family val="2"/>
      </rPr>
      <t>πkT)</t>
    </r>
    <r>
      <rPr>
        <b/>
        <vertAlign val="superscript"/>
        <sz val="11"/>
        <color indexed="8"/>
        <rFont val="Calibri"/>
        <family val="2"/>
      </rPr>
      <t>1/2</t>
    </r>
  </si>
  <si>
    <t>m(amu)</t>
  </si>
  <si>
    <t>M(amu)</t>
  </si>
  <si>
    <t>μ(amu)</t>
  </si>
  <si>
    <t>Resolving Power</t>
  </si>
  <si>
    <r>
      <t>t</t>
    </r>
    <r>
      <rPr>
        <b/>
        <vertAlign val="subscript"/>
        <sz val="11"/>
        <color theme="1"/>
        <rFont val="Calibri"/>
        <family val="2"/>
      </rPr>
      <t>1/2</t>
    </r>
    <r>
      <rPr>
        <b/>
        <sz val="11"/>
        <color theme="1"/>
        <rFont val="Calibri"/>
        <family val="2"/>
      </rPr>
      <t xml:space="preserve"> (experimental) (ms)</t>
    </r>
  </si>
  <si>
    <t>R (experimental)</t>
  </si>
  <si>
    <t>z (ion charge number)</t>
  </si>
  <si>
    <r>
      <t>t</t>
    </r>
    <r>
      <rPr>
        <b/>
        <vertAlign val="subscript"/>
        <sz val="11"/>
        <color theme="1"/>
        <rFont val="Calibri"/>
        <family val="2"/>
      </rPr>
      <t>1/2</t>
    </r>
    <r>
      <rPr>
        <b/>
        <sz val="11"/>
        <color theme="1"/>
        <rFont val="Calibri"/>
        <family val="2"/>
      </rPr>
      <t xml:space="preserve"> (predicted) (ms)</t>
    </r>
  </si>
  <si>
    <r>
      <t>&lt;v</t>
    </r>
    <r>
      <rPr>
        <b/>
        <vertAlign val="subscript"/>
        <sz val="11"/>
        <color indexed="8"/>
        <rFont val="Calibri"/>
        <family val="2"/>
      </rPr>
      <t>T</t>
    </r>
    <r>
      <rPr>
        <b/>
        <sz val="11"/>
        <color indexed="8"/>
        <rFont val="Calibri"/>
        <family val="2"/>
      </rPr>
      <t>&gt;=(8kT/πμ)</t>
    </r>
    <r>
      <rPr>
        <b/>
        <vertAlign val="superscript"/>
        <sz val="11"/>
        <color indexed="8"/>
        <rFont val="Calibri"/>
        <family val="2"/>
      </rPr>
      <t xml:space="preserve">1/2 </t>
    </r>
    <r>
      <rPr>
        <b/>
        <sz val="11"/>
        <color indexed="8"/>
        <rFont val="Calibri"/>
        <family val="2"/>
      </rPr>
      <t>(m s</t>
    </r>
    <r>
      <rPr>
        <b/>
        <vertAlign val="superscript"/>
        <sz val="11"/>
        <color indexed="8"/>
        <rFont val="Calibri"/>
        <family val="2"/>
      </rPr>
      <t>-1</t>
    </r>
    <r>
      <rPr>
        <b/>
        <sz val="11"/>
        <color indexed="8"/>
        <rFont val="Calibri"/>
        <family val="2"/>
      </rPr>
      <t>)</t>
    </r>
  </si>
  <si>
    <r>
      <t>Δ</t>
    </r>
    <r>
      <rPr>
        <b/>
        <sz val="11"/>
        <color theme="1"/>
        <rFont val="Calibri"/>
        <family val="2"/>
        <scheme val="minor"/>
      </rPr>
      <t>V</t>
    </r>
    <r>
      <rPr>
        <b/>
        <vertAlign val="subscript"/>
        <sz val="11"/>
        <color theme="1"/>
        <rFont val="Calibri"/>
        <family val="2"/>
        <scheme val="minor"/>
      </rPr>
      <t>opt</t>
    </r>
    <r>
      <rPr>
        <vertAlign val="subscript"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[to maximize resolving power]</t>
    </r>
  </si>
  <si>
    <r>
      <t>R</t>
    </r>
    <r>
      <rPr>
        <b/>
        <vertAlign val="subscript"/>
        <sz val="11"/>
        <color theme="1"/>
        <rFont val="Calibri"/>
        <family val="2"/>
      </rPr>
      <t>c</t>
    </r>
    <r>
      <rPr>
        <b/>
        <sz val="11"/>
        <color theme="1"/>
        <rFont val="Calibri"/>
        <family val="2"/>
      </rPr>
      <t xml:space="preserve"> (predicted="conditional")</t>
    </r>
  </si>
  <si>
    <r>
      <t>R</t>
    </r>
    <r>
      <rPr>
        <b/>
        <sz val="11"/>
        <color theme="1"/>
        <rFont val="Calibri"/>
        <family val="2"/>
        <scheme val="minor"/>
      </rPr>
      <t>/Rc</t>
    </r>
  </si>
  <si>
    <r>
      <rPr>
        <b/>
        <sz val="11"/>
        <color theme="1"/>
        <rFont val="Calibri"/>
        <family val="2"/>
        <scheme val="minor"/>
      </rPr>
      <t>T</t>
    </r>
    <r>
      <rPr>
        <b/>
        <vertAlign val="subscript"/>
        <sz val="11"/>
        <color theme="1"/>
        <rFont val="Calibri"/>
        <family val="2"/>
        <scheme val="minor"/>
      </rPr>
      <t>eff</t>
    </r>
  </si>
  <si>
    <r>
      <t>f</t>
    </r>
    <r>
      <rPr>
        <b/>
        <vertAlign val="subscript"/>
        <sz val="11"/>
        <color theme="1"/>
        <rFont val="Calibri"/>
        <family val="2"/>
        <scheme val="minor"/>
      </rPr>
      <t>c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</si>
  <si>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d</t>
    </r>
    <r>
      <rPr>
        <b/>
        <sz val="11"/>
        <color theme="1"/>
        <rFont val="Calibri"/>
        <family val="2"/>
        <scheme val="minor"/>
      </rPr>
      <t>/v</t>
    </r>
    <r>
      <rPr>
        <b/>
        <vertAlign val="subscript"/>
        <sz val="11"/>
        <color theme="1"/>
        <rFont val="Calibri"/>
        <family val="2"/>
        <scheme val="minor"/>
      </rPr>
      <t>T</t>
    </r>
  </si>
  <si>
    <r>
      <t>v</t>
    </r>
    <r>
      <rPr>
        <b/>
        <vertAlign val="subscript"/>
        <sz val="11"/>
        <color theme="1"/>
        <rFont val="Cambria"/>
        <family val="1"/>
        <scheme val="major"/>
      </rPr>
      <t>d</t>
    </r>
    <r>
      <rPr>
        <b/>
        <sz val="11"/>
        <color theme="1"/>
        <rFont val="Calibri"/>
        <family val="2"/>
        <scheme val="minor"/>
      </rPr>
      <t>/v</t>
    </r>
    <r>
      <rPr>
        <b/>
        <vertAlign val="subscript"/>
        <sz val="11"/>
        <color theme="1"/>
        <rFont val="Calibri"/>
        <family val="2"/>
        <scheme val="minor"/>
      </rPr>
      <t>T</t>
    </r>
  </si>
  <si>
    <r>
      <rPr>
        <b/>
        <sz val="11"/>
        <color theme="1"/>
        <rFont val="Calibri"/>
        <family val="2"/>
      </rPr>
      <t>f</t>
    </r>
    <r>
      <rPr>
        <b/>
        <vertAlign val="subscript"/>
        <sz val="11"/>
        <color theme="1"/>
        <rFont val="Calibri"/>
        <family val="2"/>
      </rPr>
      <t>c</t>
    </r>
  </si>
  <si>
    <t>Molecular Parameters</t>
  </si>
  <si>
    <t>INTERPOLATION</t>
  </si>
  <si>
    <t>Gas  Parameters</t>
  </si>
  <si>
    <t>Drift Tube Parameters</t>
  </si>
  <si>
    <r>
      <t xml:space="preserve"> K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x</t>
    </r>
    <r>
      <rPr>
        <b/>
        <vertAlign val="subscript"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E/N</t>
    </r>
  </si>
  <si>
    <r>
      <t>b</t>
    </r>
    <r>
      <rPr>
        <b/>
        <vertAlign val="subscript"/>
        <sz val="11"/>
        <color theme="1"/>
        <rFont val="Calibri"/>
        <family val="2"/>
        <scheme val="minor"/>
      </rPr>
      <t xml:space="preserve">MT </t>
    </r>
    <r>
      <rPr>
        <b/>
        <sz val="8"/>
        <color theme="1"/>
        <rFont val="Calibri"/>
        <family val="2"/>
        <scheme val="minor"/>
      </rPr>
      <t>[transverse velocity coefficient]</t>
    </r>
  </si>
  <si>
    <r>
      <rPr>
        <b/>
        <sz val="11"/>
        <color theme="1"/>
        <rFont val="Symbol"/>
        <family val="1"/>
        <charset val="2"/>
      </rPr>
      <t>z</t>
    </r>
    <r>
      <rPr>
        <b/>
        <vertAlign val="subscript"/>
        <sz val="11"/>
        <color theme="1"/>
        <rFont val="Calibri"/>
        <family val="2"/>
        <scheme val="minor"/>
      </rPr>
      <t>MT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</si>
  <si>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2T1</t>
    </r>
  </si>
  <si>
    <r>
      <t>t (</t>
    </r>
    <r>
      <rPr>
        <b/>
        <sz val="11"/>
        <color theme="1"/>
        <rFont val="Calibri"/>
        <family val="2"/>
        <scheme val="minor"/>
      </rPr>
      <t>ms</t>
    </r>
    <r>
      <rPr>
        <b/>
        <sz val="11"/>
        <color theme="1"/>
        <rFont val="Symbol"/>
        <family val="1"/>
        <charset val="2"/>
      </rPr>
      <t>)</t>
    </r>
    <r>
      <rPr>
        <sz val="11"/>
        <color theme="1"/>
        <rFont val="Symbol"/>
        <family val="1"/>
        <charset val="2"/>
      </rPr>
      <t xml:space="preserve"> </t>
    </r>
    <r>
      <rPr>
        <sz val="8"/>
        <color theme="1"/>
        <rFont val="Symbol"/>
        <family val="1"/>
        <charset val="2"/>
      </rPr>
      <t>[</t>
    </r>
    <r>
      <rPr>
        <sz val="8"/>
        <color theme="1"/>
        <rFont val="Calibri"/>
        <family val="2"/>
        <scheme val="minor"/>
      </rPr>
      <t>diffusion time to wall]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</si>
  <si>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MT</t>
    </r>
    <r>
      <rPr>
        <b/>
        <vertAlign val="subscript"/>
        <sz val="11"/>
        <color theme="1"/>
        <rFont val="Symbol"/>
        <family val="1"/>
        <charset val="2"/>
      </rPr>
      <t xml:space="preserve"> </t>
    </r>
    <r>
      <rPr>
        <sz val="11"/>
        <color theme="1"/>
        <rFont val="Symbol"/>
        <family val="1"/>
        <charset val="2"/>
      </rPr>
      <t>[</t>
    </r>
    <r>
      <rPr>
        <b/>
        <sz val="8"/>
        <color theme="1"/>
        <rFont val="Calibri"/>
        <family val="2"/>
      </rPr>
      <t>momentum transfer coefficient]</t>
    </r>
  </si>
  <si>
    <r>
      <t>W</t>
    </r>
    <r>
      <rPr>
        <b/>
        <vertAlign val="subscript"/>
        <sz val="11"/>
        <color theme="1"/>
        <rFont val="Calibri"/>
        <family val="2"/>
        <scheme val="minor"/>
      </rPr>
      <t>MT</t>
    </r>
    <r>
      <rPr>
        <b/>
        <sz val="11"/>
        <color theme="1"/>
        <rFont val="Symbol"/>
        <family val="1"/>
        <charset val="2"/>
      </rPr>
      <t>(A</t>
    </r>
    <r>
      <rPr>
        <b/>
        <vertAlign val="superscript"/>
        <sz val="11"/>
        <color theme="1"/>
        <rFont val="Symbol"/>
        <family val="1"/>
        <charset val="2"/>
      </rPr>
      <t>2</t>
    </r>
    <r>
      <rPr>
        <b/>
        <sz val="11"/>
        <color theme="1"/>
        <rFont val="Symbol"/>
        <family val="1"/>
        <charset val="2"/>
      </rPr>
      <t>)</t>
    </r>
    <r>
      <rPr>
        <sz val="11"/>
        <color theme="1"/>
        <rFont val="Calibri"/>
        <family val="2"/>
        <scheme val="minor"/>
      </rPr>
      <t xml:space="preserve"> </t>
    </r>
    <r>
      <rPr>
        <b/>
        <sz val="8"/>
        <color theme="1"/>
        <rFont val="Calibri"/>
        <family val="2"/>
        <scheme val="minor"/>
      </rPr>
      <t>[MT corrected]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</si>
  <si>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2T</t>
    </r>
  </si>
  <si>
    <r>
      <t>b</t>
    </r>
    <r>
      <rPr>
        <b/>
        <vertAlign val="subscript"/>
        <sz val="11"/>
        <color theme="1"/>
        <rFont val="Calibri"/>
        <family val="2"/>
        <scheme val="minor"/>
      </rPr>
      <t>2T</t>
    </r>
  </si>
  <si>
    <r>
      <rPr>
        <b/>
        <sz val="11"/>
        <color theme="1"/>
        <rFont val="Calibri"/>
        <family val="2"/>
        <scheme val="minor"/>
      </rPr>
      <t>K' = dlnK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>/dln(E/N)</t>
    </r>
  </si>
  <si>
    <r>
      <t>W</t>
    </r>
    <r>
      <rPr>
        <b/>
        <vertAlign val="subscript"/>
        <sz val="11"/>
        <color theme="1"/>
        <rFont val="Calibri"/>
        <family val="2"/>
        <scheme val="minor"/>
      </rPr>
      <t>2T1</t>
    </r>
    <r>
      <rPr>
        <b/>
        <sz val="11"/>
        <color theme="1"/>
        <rFont val="Symbol"/>
        <family val="1"/>
        <charset val="2"/>
      </rPr>
      <t>(A</t>
    </r>
    <r>
      <rPr>
        <b/>
        <vertAlign val="superscript"/>
        <sz val="11"/>
        <color theme="1"/>
        <rFont val="Symbol"/>
        <family val="1"/>
        <charset val="2"/>
      </rPr>
      <t>2</t>
    </r>
    <r>
      <rPr>
        <b/>
        <sz val="11"/>
        <color theme="1"/>
        <rFont val="Symbol"/>
        <family val="1"/>
        <charset val="2"/>
      </rPr>
      <t>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color theme="1"/>
        <rFont val="Calibri"/>
        <family val="2"/>
        <scheme val="minor"/>
      </rPr>
      <t>[2T1 corrected]</t>
    </r>
  </si>
  <si>
    <r>
      <t>W</t>
    </r>
    <r>
      <rPr>
        <b/>
        <vertAlign val="subscript"/>
        <sz val="11"/>
        <color theme="1"/>
        <rFont val="Calibri"/>
        <family val="2"/>
        <scheme val="minor"/>
      </rPr>
      <t>2T2</t>
    </r>
    <r>
      <rPr>
        <b/>
        <sz val="11"/>
        <color theme="1"/>
        <rFont val="Symbol"/>
        <family val="1"/>
        <charset val="2"/>
      </rPr>
      <t>(A</t>
    </r>
    <r>
      <rPr>
        <b/>
        <vertAlign val="superscript"/>
        <sz val="11"/>
        <color theme="1"/>
        <rFont val="Symbol"/>
        <family val="1"/>
        <charset val="2"/>
      </rPr>
      <t>2</t>
    </r>
    <r>
      <rPr>
        <b/>
        <sz val="11"/>
        <color theme="1"/>
        <rFont val="Symbol"/>
        <family val="1"/>
        <charset val="2"/>
      </rPr>
      <t>)</t>
    </r>
    <r>
      <rPr>
        <b/>
        <sz val="8"/>
        <color theme="1"/>
        <rFont val="Symbol"/>
        <family val="1"/>
        <charset val="2"/>
      </rPr>
      <t xml:space="preserve"> </t>
    </r>
    <r>
      <rPr>
        <b/>
        <sz val="8"/>
        <color theme="1"/>
        <rFont val="Calibri"/>
        <family val="2"/>
        <scheme val="minor"/>
      </rPr>
      <t>[2T2 corrected]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</si>
  <si>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2T2</t>
    </r>
  </si>
  <si>
    <t>lo field limit</t>
  </si>
  <si>
    <t>hi field limit</t>
  </si>
  <si>
    <r>
      <t>K</t>
    </r>
    <r>
      <rPr>
        <b/>
        <vertAlign val="subscript"/>
        <sz val="11"/>
        <color indexed="8"/>
        <rFont val="Calibri"/>
        <family val="2"/>
      </rPr>
      <t>0</t>
    </r>
    <r>
      <rPr>
        <b/>
        <sz val="11"/>
        <color indexed="8"/>
        <rFont val="Calibri"/>
        <family val="2"/>
      </rPr>
      <t>(cm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V</t>
    </r>
    <r>
      <rPr>
        <b/>
        <vertAlign val="superscript"/>
        <sz val="11"/>
        <color indexed="8"/>
        <rFont val="Calibri"/>
        <family val="2"/>
      </rPr>
      <t>-1</t>
    </r>
    <r>
      <rPr>
        <b/>
        <sz val="11"/>
        <color indexed="8"/>
        <rFont val="Calibri"/>
        <family val="2"/>
      </rPr>
      <t>s</t>
    </r>
    <r>
      <rPr>
        <b/>
        <vertAlign val="superscript"/>
        <sz val="11"/>
        <color indexed="8"/>
        <rFont val="Calibri"/>
        <family val="2"/>
      </rPr>
      <t>-1</t>
    </r>
    <r>
      <rPr>
        <b/>
        <sz val="11"/>
        <color indexed="8"/>
        <rFont val="Calibri"/>
        <family val="2"/>
      </rPr>
      <t>)</t>
    </r>
  </si>
  <si>
    <t>A</t>
  </si>
  <si>
    <t>erg</t>
  </si>
  <si>
    <t>1Bohr=</t>
  </si>
  <si>
    <t>1Hartree=</t>
  </si>
  <si>
    <t>Constants/Conversions</t>
  </si>
  <si>
    <r>
      <t>f</t>
    </r>
    <r>
      <rPr>
        <b/>
        <vertAlign val="subscript"/>
        <sz val="11"/>
        <color theme="1"/>
        <rFont val="Calibri"/>
        <family val="2"/>
        <scheme val="minor"/>
      </rPr>
      <t xml:space="preserve">c              </t>
    </r>
    <r>
      <rPr>
        <b/>
        <sz val="11"/>
        <color theme="1"/>
        <rFont val="Calibri"/>
        <family val="2"/>
        <scheme val="minor"/>
      </rPr>
      <t xml:space="preserve">            </t>
    </r>
    <r>
      <rPr>
        <b/>
        <sz val="8"/>
        <color theme="1"/>
        <rFont val="Calibri"/>
        <family val="2"/>
        <scheme val="minor"/>
      </rPr>
      <t xml:space="preserve"> [see note *]</t>
    </r>
  </si>
  <si>
    <t>m</t>
  </si>
  <si>
    <t>M</t>
  </si>
  <si>
    <t>μ</t>
  </si>
  <si>
    <r>
      <t xml:space="preserve">F </t>
    </r>
    <r>
      <rPr>
        <b/>
        <sz val="11"/>
        <color theme="1"/>
        <rFont val="Calibri"/>
        <family val="2"/>
        <scheme val="minor"/>
      </rPr>
      <t>Exponent and Norm. Factor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</si>
  <si>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r</t>
    </r>
    <r>
      <rPr>
        <b/>
        <sz val="11"/>
        <color theme="1"/>
        <rFont val="Calibri"/>
        <family val="2"/>
        <scheme val="minor"/>
      </rPr>
      <t xml:space="preserve"> = (v</t>
    </r>
    <r>
      <rPr>
        <b/>
        <vertAlign val="subscript"/>
        <sz val="11"/>
        <color theme="1"/>
        <rFont val="Calibri"/>
        <family val="2"/>
        <scheme val="minor"/>
      </rPr>
      <t>T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+ (</t>
    </r>
    <r>
      <rPr>
        <b/>
        <sz val="11"/>
        <color theme="1"/>
        <rFont val="Symbol"/>
        <family val="1"/>
        <charset val="2"/>
      </rPr>
      <t>b/a)</t>
    </r>
    <r>
      <rPr>
        <b/>
        <vertAlign val="superscript"/>
        <sz val="11"/>
        <color theme="1"/>
        <rFont val="Symbol"/>
        <family val="1"/>
        <charset val="2"/>
      </rPr>
      <t>2</t>
    </r>
    <r>
      <rPr>
        <b/>
        <sz val="11"/>
        <color theme="1"/>
        <rFont val="Calibri"/>
        <family val="2"/>
        <scheme val="minor"/>
      </rPr>
      <t>v</t>
    </r>
    <r>
      <rPr>
        <b/>
        <vertAlign val="subscript"/>
        <sz val="11"/>
        <color theme="1"/>
        <rFont val="Calibri"/>
        <family val="2"/>
        <scheme val="minor"/>
      </rPr>
      <t>d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  <r>
      <rPr>
        <b/>
        <vertAlign val="superscript"/>
        <sz val="11"/>
        <color theme="1"/>
        <rFont val="Calibri"/>
        <family val="2"/>
        <scheme val="minor"/>
      </rPr>
      <t xml:space="preserve">1/2 </t>
    </r>
    <r>
      <rPr>
        <b/>
        <sz val="11"/>
        <color theme="1"/>
        <rFont val="Calibri"/>
        <family val="2"/>
        <scheme val="minor"/>
      </rPr>
      <t>(m s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</si>
  <si>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r>
      <t xml:space="preserve">                         </t>
    </r>
    <r>
      <rPr>
        <sz val="8"/>
        <color theme="1"/>
        <rFont val="Calibri"/>
        <family val="2"/>
        <scheme val="minor"/>
      </rPr>
      <t>[collision frequency, s</t>
    </r>
    <r>
      <rPr>
        <vertAlign val="superscript"/>
        <sz val="8"/>
        <color theme="1"/>
        <rFont val="Calibri"/>
        <family val="2"/>
        <scheme val="minor"/>
      </rPr>
      <t>-1</t>
    </r>
    <r>
      <rPr>
        <sz val="8"/>
        <color theme="1"/>
        <rFont val="Calibri"/>
        <family val="2"/>
        <scheme val="minor"/>
      </rPr>
      <t>]</t>
    </r>
  </si>
  <si>
    <r>
      <t xml:space="preserve">        </t>
    </r>
    <r>
      <rPr>
        <sz val="8"/>
        <color theme="1"/>
        <rFont val="Calibri"/>
        <family val="2"/>
        <scheme val="minor"/>
      </rPr>
      <t>[number of collisions]</t>
    </r>
  </si>
  <si>
    <r>
      <t>spread (cm)</t>
    </r>
    <r>
      <rPr>
        <sz val="8"/>
        <color theme="1"/>
        <rFont val="Calibri"/>
        <family val="2"/>
        <scheme val="minor"/>
      </rPr>
      <t xml:space="preserve">  [expansion during drift]</t>
    </r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</si>
  <si>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(cm)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[ion's DeBroglie wavelength]</t>
    </r>
  </si>
  <si>
    <t>inches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</si>
</sst>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0"/>
    <numFmt numFmtId="166" formatCode="0.0"/>
    <numFmt numFmtId="167" formatCode="0.0000"/>
    <numFmt numFmtId="168" formatCode="0.0000E+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perscript"/>
      <sz val="11"/>
      <color indexed="8"/>
      <name val="Calibri"/>
      <family val="2"/>
    </font>
    <font>
      <b/>
      <sz val="11"/>
      <color indexed="8"/>
      <name val="Calibri"/>
      <family val="2"/>
    </font>
    <font>
      <b/>
      <vertAlign val="subscript"/>
      <sz val="11"/>
      <color indexed="8"/>
      <name val="Calibri"/>
      <family val="2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Arial"/>
      <family val="2"/>
    </font>
    <font>
      <b/>
      <vertAlign val="superscript"/>
      <sz val="11"/>
      <color theme="1"/>
      <name val="Symbol"/>
      <family val="1"/>
      <charset val="2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sz val="11"/>
      <color theme="1"/>
      <name val="Symbol"/>
      <family val="1"/>
      <charset val="2"/>
    </font>
    <font>
      <b/>
      <sz val="8"/>
      <color theme="1"/>
      <name val="Calibri"/>
      <family val="2"/>
    </font>
    <font>
      <b/>
      <sz val="11"/>
      <color theme="1"/>
      <name val="Cambria"/>
      <family val="1"/>
    </font>
    <font>
      <b/>
      <vertAlign val="subscript"/>
      <sz val="11"/>
      <color theme="1"/>
      <name val="Calibri"/>
      <family val="2"/>
    </font>
    <font>
      <vertAlign val="subscript"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vertAlign val="subscript"/>
      <sz val="11"/>
      <color theme="1"/>
      <name val="Cambria"/>
      <family val="1"/>
      <scheme val="major"/>
    </font>
    <font>
      <b/>
      <sz val="8"/>
      <color theme="1"/>
      <name val="Symbol"/>
      <family val="1"/>
      <charset val="2"/>
    </font>
    <font>
      <sz val="8"/>
      <color theme="1"/>
      <name val="Symbol"/>
      <family val="1"/>
      <charset val="2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vertAlign val="superscript"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6" fillId="0" borderId="0" applyFont="0" applyFill="0" applyBorder="0" applyAlignment="0" applyProtection="0"/>
  </cellStyleXfs>
  <cellXfs count="120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0" borderId="4" xfId="0" applyFont="1" applyBorder="1"/>
    <xf numFmtId="0" fontId="0" fillId="0" borderId="0" xfId="0" applyFill="1" applyBorder="1"/>
    <xf numFmtId="2" fontId="0" fillId="0" borderId="0" xfId="0" applyNumberFormat="1" applyBorder="1"/>
    <xf numFmtId="2" fontId="0" fillId="0" borderId="5" xfId="0" applyNumberFormat="1" applyBorder="1"/>
    <xf numFmtId="0" fontId="1" fillId="0" borderId="4" xfId="0" applyFont="1" applyBorder="1" applyAlignment="1">
      <alignment horizontal="left"/>
    </xf>
    <xf numFmtId="11" fontId="1" fillId="0" borderId="4" xfId="0" applyNumberFormat="1" applyFont="1" applyBorder="1"/>
    <xf numFmtId="11" fontId="0" fillId="0" borderId="0" xfId="0" applyNumberFormat="1" applyFill="1" applyBorder="1"/>
    <xf numFmtId="164" fontId="0" fillId="0" borderId="5" xfId="0" applyNumberFormat="1" applyBorder="1"/>
    <xf numFmtId="0" fontId="0" fillId="0" borderId="0" xfId="0" applyBorder="1"/>
    <xf numFmtId="0" fontId="7" fillId="0" borderId="4" xfId="0" applyFont="1" applyBorder="1"/>
    <xf numFmtId="2" fontId="0" fillId="0" borderId="0" xfId="0" applyNumberFormat="1" applyFill="1" applyBorder="1"/>
    <xf numFmtId="0" fontId="1" fillId="0" borderId="7" xfId="0" applyFont="1" applyBorder="1"/>
    <xf numFmtId="11" fontId="7" fillId="3" borderId="1" xfId="0" applyNumberFormat="1" applyFont="1" applyFill="1" applyBorder="1" applyAlignment="1">
      <alignment horizontal="center"/>
    </xf>
    <xf numFmtId="2" fontId="0" fillId="0" borderId="0" xfId="0" applyNumberFormat="1"/>
    <xf numFmtId="164" fontId="0" fillId="0" borderId="5" xfId="0" applyNumberFormat="1" applyFill="1" applyBorder="1"/>
    <xf numFmtId="0" fontId="1" fillId="0" borderId="0" xfId="0" applyFont="1" applyBorder="1"/>
    <xf numFmtId="0" fontId="1" fillId="0" borderId="0" xfId="0" applyFont="1"/>
    <xf numFmtId="11" fontId="0" fillId="0" borderId="0" xfId="0" applyNumberFormat="1"/>
    <xf numFmtId="0" fontId="1" fillId="0" borderId="0" xfId="0" applyFont="1" applyAlignment="1">
      <alignment horizontal="center"/>
    </xf>
    <xf numFmtId="164" fontId="0" fillId="0" borderId="0" xfId="0" applyNumberFormat="1"/>
    <xf numFmtId="0" fontId="7" fillId="0" borderId="0" xfId="0" applyFont="1"/>
    <xf numFmtId="1" fontId="0" fillId="0" borderId="0" xfId="0" applyNumberFormat="1"/>
    <xf numFmtId="0" fontId="16" fillId="0" borderId="4" xfId="0" applyFont="1" applyBorder="1"/>
    <xf numFmtId="0" fontId="11" fillId="3" borderId="1" xfId="0" applyFont="1" applyFill="1" applyBorder="1" applyAlignment="1">
      <alignment horizontal="center"/>
    </xf>
    <xf numFmtId="0" fontId="11" fillId="0" borderId="10" xfId="0" applyFont="1" applyFill="1" applyBorder="1"/>
    <xf numFmtId="0" fontId="11" fillId="0" borderId="4" xfId="0" applyFont="1" applyFill="1" applyBorder="1"/>
    <xf numFmtId="166" fontId="0" fillId="0" borderId="5" xfId="0" applyNumberFormat="1" applyBorder="1"/>
    <xf numFmtId="0" fontId="1" fillId="0" borderId="7" xfId="0" applyFont="1" applyBorder="1" applyAlignment="1">
      <alignment horizontal="left"/>
    </xf>
    <xf numFmtId="0" fontId="0" fillId="0" borderId="7" xfId="0" applyBorder="1"/>
    <xf numFmtId="1" fontId="0" fillId="0" borderId="9" xfId="0" applyNumberFormat="1" applyBorder="1"/>
    <xf numFmtId="2" fontId="0" fillId="5" borderId="6" xfId="0" applyNumberFormat="1" applyFill="1" applyBorder="1"/>
    <xf numFmtId="167" fontId="0" fillId="0" borderId="0" xfId="0" applyNumberFormat="1"/>
    <xf numFmtId="164" fontId="1" fillId="0" borderId="0" xfId="0" applyNumberFormat="1" applyFont="1" applyAlignment="1">
      <alignment horizontal="center"/>
    </xf>
    <xf numFmtId="1" fontId="0" fillId="5" borderId="11" xfId="0" applyNumberFormat="1" applyFill="1" applyBorder="1" applyProtection="1"/>
    <xf numFmtId="1" fontId="0" fillId="0" borderId="0" xfId="0" applyNumberFormat="1" applyBorder="1"/>
    <xf numFmtId="2" fontId="1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Font="1" applyAlignment="1">
      <alignment horizontal="right"/>
    </xf>
    <xf numFmtId="2" fontId="11" fillId="0" borderId="0" xfId="0" applyNumberFormat="1" applyFont="1" applyAlignment="1">
      <alignment horizontal="center"/>
    </xf>
    <xf numFmtId="165" fontId="0" fillId="0" borderId="5" xfId="0" applyNumberFormat="1" applyFill="1" applyBorder="1"/>
    <xf numFmtId="2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2" fontId="0" fillId="0" borderId="4" xfId="0" applyNumberFormat="1" applyFill="1" applyBorder="1"/>
    <xf numFmtId="164" fontId="0" fillId="0" borderId="4" xfId="0" applyNumberFormat="1" applyBorder="1"/>
    <xf numFmtId="11" fontId="0" fillId="0" borderId="0" xfId="0" applyNumberFormat="1" applyBorder="1"/>
    <xf numFmtId="167" fontId="0" fillId="0" borderId="0" xfId="0" applyNumberFormat="1" applyFill="1"/>
    <xf numFmtId="0" fontId="1" fillId="0" borderId="0" xfId="0" applyFont="1" applyFill="1" applyBorder="1"/>
    <xf numFmtId="2" fontId="0" fillId="5" borderId="11" xfId="0" applyNumberFormat="1" applyFill="1" applyBorder="1"/>
    <xf numFmtId="164" fontId="0" fillId="5" borderId="11" xfId="0" applyNumberFormat="1" applyFill="1" applyBorder="1" applyProtection="1"/>
    <xf numFmtId="164" fontId="0" fillId="5" borderId="14" xfId="0" applyNumberFormat="1" applyFill="1" applyBorder="1"/>
    <xf numFmtId="167" fontId="0" fillId="0" borderId="0" xfId="0" applyNumberFormat="1" applyFill="1" applyBorder="1"/>
    <xf numFmtId="167" fontId="0" fillId="0" borderId="5" xfId="0" applyNumberFormat="1" applyBorder="1"/>
    <xf numFmtId="167" fontId="0" fillId="6" borderId="0" xfId="0" applyNumberFormat="1" applyFill="1" applyBorder="1"/>
    <xf numFmtId="164" fontId="0" fillId="0" borderId="0" xfId="0" applyNumberFormat="1" applyBorder="1"/>
    <xf numFmtId="11" fontId="1" fillId="0" borderId="0" xfId="0" applyNumberFormat="1" applyFont="1" applyBorder="1"/>
    <xf numFmtId="165" fontId="0" fillId="0" borderId="0" xfId="0" applyNumberFormat="1" applyFill="1" applyBorder="1"/>
    <xf numFmtId="167" fontId="0" fillId="5" borderId="0" xfId="0" applyNumberFormat="1" applyFont="1" applyFill="1" applyAlignment="1">
      <alignment horizontal="right"/>
    </xf>
    <xf numFmtId="165" fontId="0" fillId="0" borderId="0" xfId="0" applyNumberFormat="1"/>
    <xf numFmtId="2" fontId="0" fillId="8" borderId="9" xfId="0" applyNumberFormat="1" applyFill="1" applyBorder="1"/>
    <xf numFmtId="165" fontId="0" fillId="8" borderId="5" xfId="0" applyNumberFormat="1" applyFill="1" applyBorder="1"/>
    <xf numFmtId="2" fontId="0" fillId="0" borderId="15" xfId="0" applyNumberFormat="1" applyBorder="1"/>
    <xf numFmtId="1" fontId="0" fillId="0" borderId="16" xfId="0" applyNumberFormat="1" applyFill="1" applyBorder="1"/>
    <xf numFmtId="167" fontId="0" fillId="0" borderId="17" xfId="0" applyNumberFormat="1" applyFill="1" applyBorder="1"/>
    <xf numFmtId="167" fontId="0" fillId="5" borderId="18" xfId="0" applyNumberFormat="1" applyFill="1" applyBorder="1" applyProtection="1"/>
    <xf numFmtId="167" fontId="0" fillId="0" borderId="8" xfId="0" applyNumberFormat="1" applyFill="1" applyBorder="1"/>
    <xf numFmtId="167" fontId="0" fillId="8" borderId="0" xfId="0" applyNumberFormat="1" applyFill="1" applyBorder="1"/>
    <xf numFmtId="11" fontId="0" fillId="0" borderId="15" xfId="0" applyNumberFormat="1" applyBorder="1"/>
    <xf numFmtId="2" fontId="0" fillId="9" borderId="0" xfId="0" applyNumberFormat="1" applyFill="1" applyBorder="1"/>
    <xf numFmtId="1" fontId="0" fillId="5" borderId="6" xfId="0" applyNumberFormat="1" applyFill="1" applyBorder="1"/>
    <xf numFmtId="167" fontId="0" fillId="0" borderId="4" xfId="0" applyNumberFormat="1" applyFill="1" applyBorder="1"/>
    <xf numFmtId="167" fontId="0" fillId="0" borderId="20" xfId="0" applyNumberFormat="1" applyFill="1" applyBorder="1"/>
    <xf numFmtId="167" fontId="0" fillId="0" borderId="19" xfId="0" applyNumberFormat="1" applyFill="1" applyBorder="1"/>
    <xf numFmtId="2" fontId="0" fillId="0" borderId="5" xfId="0" applyNumberFormat="1" applyFill="1" applyBorder="1"/>
    <xf numFmtId="165" fontId="0" fillId="0" borderId="19" xfId="0" applyNumberFormat="1" applyBorder="1"/>
    <xf numFmtId="167" fontId="0" fillId="5" borderId="21" xfId="0" applyNumberFormat="1" applyFill="1" applyBorder="1"/>
    <xf numFmtId="2" fontId="0" fillId="0" borderId="12" xfId="0" applyNumberFormat="1" applyFill="1" applyBorder="1"/>
    <xf numFmtId="0" fontId="1" fillId="0" borderId="22" xfId="0" applyFont="1" applyBorder="1"/>
    <xf numFmtId="0" fontId="7" fillId="0" borderId="22" xfId="0" applyFont="1" applyBorder="1"/>
    <xf numFmtId="2" fontId="0" fillId="7" borderId="23" xfId="0" applyNumberFormat="1" applyFill="1" applyBorder="1"/>
    <xf numFmtId="0" fontId="12" fillId="0" borderId="0" xfId="0" applyFont="1" applyAlignment="1">
      <alignment horizontal="center"/>
    </xf>
    <xf numFmtId="167" fontId="23" fillId="0" borderId="5" xfId="0" applyNumberFormat="1" applyFont="1" applyFill="1" applyBorder="1"/>
    <xf numFmtId="2" fontId="23" fillId="7" borderId="5" xfId="0" applyNumberFormat="1" applyFont="1" applyFill="1" applyBorder="1"/>
    <xf numFmtId="167" fontId="23" fillId="5" borderId="6" xfId="0" applyNumberFormat="1" applyFont="1" applyFill="1" applyBorder="1"/>
    <xf numFmtId="165" fontId="23" fillId="0" borderId="5" xfId="0" applyNumberFormat="1" applyFont="1" applyFill="1" applyBorder="1"/>
    <xf numFmtId="168" fontId="0" fillId="0" borderId="5" xfId="0" applyNumberFormat="1" applyFill="1" applyBorder="1"/>
    <xf numFmtId="168" fontId="0" fillId="0" borderId="5" xfId="0" applyNumberFormat="1" applyBorder="1"/>
    <xf numFmtId="2" fontId="0" fillId="5" borderId="18" xfId="0" applyNumberFormat="1" applyFill="1" applyBorder="1" applyProtection="1"/>
    <xf numFmtId="164" fontId="0" fillId="5" borderId="6" xfId="0" applyNumberFormat="1" applyFill="1" applyBorder="1" applyProtection="1"/>
    <xf numFmtId="0" fontId="0" fillId="0" borderId="24" xfId="0" applyBorder="1"/>
    <xf numFmtId="0" fontId="0" fillId="0" borderId="25" xfId="0" applyBorder="1"/>
    <xf numFmtId="11" fontId="0" fillId="0" borderId="9" xfId="0" applyNumberFormat="1" applyBorder="1"/>
    <xf numFmtId="2" fontId="0" fillId="8" borderId="5" xfId="0" applyNumberFormat="1" applyFill="1" applyBorder="1"/>
    <xf numFmtId="164" fontId="0" fillId="5" borderId="6" xfId="0" applyNumberFormat="1" applyFill="1" applyBorder="1"/>
    <xf numFmtId="11" fontId="0" fillId="0" borderId="5" xfId="0" applyNumberFormat="1" applyBorder="1"/>
    <xf numFmtId="11" fontId="0" fillId="0" borderId="8" xfId="0" applyNumberFormat="1" applyBorder="1"/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right"/>
    </xf>
    <xf numFmtId="0" fontId="1" fillId="0" borderId="29" xfId="0" applyFont="1" applyBorder="1"/>
    <xf numFmtId="0" fontId="16" fillId="0" borderId="30" xfId="0" applyFont="1" applyBorder="1"/>
    <xf numFmtId="165" fontId="0" fillId="0" borderId="31" xfId="0" applyNumberFormat="1" applyBorder="1"/>
    <xf numFmtId="2" fontId="0" fillId="0" borderId="32" xfId="0" applyNumberFormat="1" applyBorder="1" applyAlignment="1"/>
    <xf numFmtId="164" fontId="0" fillId="0" borderId="33" xfId="0" applyNumberFormat="1" applyFill="1" applyBorder="1"/>
    <xf numFmtId="164" fontId="0" fillId="0" borderId="34" xfId="0" applyNumberFormat="1" applyFill="1" applyBorder="1"/>
    <xf numFmtId="167" fontId="0" fillId="0" borderId="33" xfId="0" applyNumberFormat="1" applyBorder="1"/>
    <xf numFmtId="167" fontId="0" fillId="0" borderId="34" xfId="0" applyNumberFormat="1" applyBorder="1"/>
    <xf numFmtId="0" fontId="24" fillId="0" borderId="28" xfId="0" applyFont="1" applyBorder="1"/>
    <xf numFmtId="0" fontId="12" fillId="0" borderId="19" xfId="0" applyFont="1" applyBorder="1"/>
    <xf numFmtId="10" fontId="0" fillId="0" borderId="0" xfId="1" applyNumberFormat="1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fc!$K$2:$K$1502</c:f>
              <c:numCache>
                <c:formatCode>0.000</c:formatCode>
                <c:ptCount val="15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1.3000000000000001E-2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1.8000000000000002E-2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2.6000000000000002E-2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3.6000000000000004E-2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4.3000000000000003E-2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5.1000000000000004E-2</c:v>
                </c:pt>
                <c:pt idx="52">
                  <c:v>5.2000000000000005E-2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5.9000000000000004E-2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7.1000000000000008E-2</c:v>
                </c:pt>
                <c:pt idx="72">
                  <c:v>7.2000000000000008E-2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8.6000000000000007E-2</c:v>
                </c:pt>
                <c:pt idx="87">
                  <c:v>8.7000000000000008E-2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0.10200000000000001</c:v>
                </c:pt>
                <c:pt idx="103">
                  <c:v>0.10300000000000001</c:v>
                </c:pt>
                <c:pt idx="104">
                  <c:v>0.10400000000000001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0.11800000000000001</c:v>
                </c:pt>
                <c:pt idx="119">
                  <c:v>0.11900000000000001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0.14100000000000001</c:v>
                </c:pt>
                <c:pt idx="142">
                  <c:v>0.14200000000000002</c:v>
                </c:pt>
                <c:pt idx="143">
                  <c:v>0.14300000000000002</c:v>
                </c:pt>
                <c:pt idx="144">
                  <c:v>0.14400000000000002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0.17200000000000001</c:v>
                </c:pt>
                <c:pt idx="173">
                  <c:v>0.17300000000000001</c:v>
                </c:pt>
                <c:pt idx="174">
                  <c:v>0.17400000000000002</c:v>
                </c:pt>
                <c:pt idx="175">
                  <c:v>0.17500000000000002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0.20400000000000001</c:v>
                </c:pt>
                <c:pt idx="205">
                  <c:v>0.20500000000000002</c:v>
                </c:pt>
                <c:pt idx="206">
                  <c:v>0.20600000000000002</c:v>
                </c:pt>
                <c:pt idx="207">
                  <c:v>0.20700000000000002</c:v>
                </c:pt>
                <c:pt idx="208">
                  <c:v>0.20800000000000002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0.23500000000000001</c:v>
                </c:pt>
                <c:pt idx="236">
                  <c:v>0.23600000000000002</c:v>
                </c:pt>
                <c:pt idx="237">
                  <c:v>0.23700000000000002</c:v>
                </c:pt>
                <c:pt idx="238">
                  <c:v>0.23800000000000002</c:v>
                </c:pt>
                <c:pt idx="239">
                  <c:v>0.23900000000000002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0.28200000000000003</c:v>
                </c:pt>
                <c:pt idx="283">
                  <c:v>0.28300000000000003</c:v>
                </c:pt>
                <c:pt idx="284">
                  <c:v>0.28400000000000003</c:v>
                </c:pt>
                <c:pt idx="285">
                  <c:v>0.28500000000000003</c:v>
                </c:pt>
                <c:pt idx="286">
                  <c:v>0.28600000000000003</c:v>
                </c:pt>
                <c:pt idx="287">
                  <c:v>0.28700000000000003</c:v>
                </c:pt>
                <c:pt idx="288">
                  <c:v>0.28800000000000003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0.34400000000000003</c:v>
                </c:pt>
                <c:pt idx="345">
                  <c:v>0.34500000000000003</c:v>
                </c:pt>
                <c:pt idx="346">
                  <c:v>0.34600000000000003</c:v>
                </c:pt>
                <c:pt idx="347">
                  <c:v>0.34700000000000003</c:v>
                </c:pt>
                <c:pt idx="348">
                  <c:v>0.34800000000000003</c:v>
                </c:pt>
                <c:pt idx="349">
                  <c:v>0.34900000000000003</c:v>
                </c:pt>
                <c:pt idx="350">
                  <c:v>0.35000000000000003</c:v>
                </c:pt>
                <c:pt idx="351">
                  <c:v>0.35100000000000003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0.40700000000000003</c:v>
                </c:pt>
                <c:pt idx="408">
                  <c:v>0.40800000000000003</c:v>
                </c:pt>
                <c:pt idx="409">
                  <c:v>0.40900000000000003</c:v>
                </c:pt>
                <c:pt idx="410">
                  <c:v>0.41000000000000003</c:v>
                </c:pt>
                <c:pt idx="411">
                  <c:v>0.41100000000000003</c:v>
                </c:pt>
                <c:pt idx="412">
                  <c:v>0.41200000000000003</c:v>
                </c:pt>
                <c:pt idx="413">
                  <c:v>0.41300000000000003</c:v>
                </c:pt>
                <c:pt idx="414">
                  <c:v>0.41400000000000003</c:v>
                </c:pt>
                <c:pt idx="415">
                  <c:v>0.41500000000000004</c:v>
                </c:pt>
                <c:pt idx="416">
                  <c:v>0.41600000000000004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0.46900000000000003</c:v>
                </c:pt>
                <c:pt idx="470">
                  <c:v>0.47000000000000003</c:v>
                </c:pt>
                <c:pt idx="471">
                  <c:v>0.47100000000000003</c:v>
                </c:pt>
                <c:pt idx="472">
                  <c:v>0.47200000000000003</c:v>
                </c:pt>
                <c:pt idx="473">
                  <c:v>0.47300000000000003</c:v>
                </c:pt>
                <c:pt idx="474">
                  <c:v>0.47400000000000003</c:v>
                </c:pt>
                <c:pt idx="475">
                  <c:v>0.47500000000000003</c:v>
                </c:pt>
                <c:pt idx="476">
                  <c:v>0.47600000000000003</c:v>
                </c:pt>
                <c:pt idx="477">
                  <c:v>0.47700000000000004</c:v>
                </c:pt>
                <c:pt idx="478">
                  <c:v>0.47800000000000004</c:v>
                </c:pt>
                <c:pt idx="479">
                  <c:v>0.47900000000000004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0.56300000000000006</c:v>
                </c:pt>
                <c:pt idx="564">
                  <c:v>0.56400000000000006</c:v>
                </c:pt>
                <c:pt idx="565">
                  <c:v>0.56500000000000006</c:v>
                </c:pt>
                <c:pt idx="566">
                  <c:v>0.56600000000000006</c:v>
                </c:pt>
                <c:pt idx="567">
                  <c:v>0.56700000000000006</c:v>
                </c:pt>
                <c:pt idx="568">
                  <c:v>0.56800000000000006</c:v>
                </c:pt>
                <c:pt idx="569">
                  <c:v>0.56900000000000006</c:v>
                </c:pt>
                <c:pt idx="570">
                  <c:v>0.57000000000000006</c:v>
                </c:pt>
                <c:pt idx="571">
                  <c:v>0.57100000000000006</c:v>
                </c:pt>
                <c:pt idx="572">
                  <c:v>0.57200000000000006</c:v>
                </c:pt>
                <c:pt idx="573">
                  <c:v>0.57300000000000006</c:v>
                </c:pt>
                <c:pt idx="574">
                  <c:v>0.57400000000000007</c:v>
                </c:pt>
                <c:pt idx="575">
                  <c:v>0.57500000000000007</c:v>
                </c:pt>
                <c:pt idx="576">
                  <c:v>0.57600000000000007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0.68800000000000006</c:v>
                </c:pt>
                <c:pt idx="689">
                  <c:v>0.68900000000000006</c:v>
                </c:pt>
                <c:pt idx="690">
                  <c:v>0.69000000000000006</c:v>
                </c:pt>
                <c:pt idx="691">
                  <c:v>0.69100000000000006</c:v>
                </c:pt>
                <c:pt idx="692">
                  <c:v>0.69200000000000006</c:v>
                </c:pt>
                <c:pt idx="693">
                  <c:v>0.69300000000000006</c:v>
                </c:pt>
                <c:pt idx="694">
                  <c:v>0.69400000000000006</c:v>
                </c:pt>
                <c:pt idx="695">
                  <c:v>0.69500000000000006</c:v>
                </c:pt>
                <c:pt idx="696">
                  <c:v>0.69600000000000006</c:v>
                </c:pt>
                <c:pt idx="697">
                  <c:v>0.69700000000000006</c:v>
                </c:pt>
                <c:pt idx="698">
                  <c:v>0.69800000000000006</c:v>
                </c:pt>
                <c:pt idx="699">
                  <c:v>0.69900000000000007</c:v>
                </c:pt>
                <c:pt idx="700">
                  <c:v>0.70000000000000007</c:v>
                </c:pt>
                <c:pt idx="701">
                  <c:v>0.70100000000000007</c:v>
                </c:pt>
                <c:pt idx="702">
                  <c:v>0.70200000000000007</c:v>
                </c:pt>
                <c:pt idx="703">
                  <c:v>0.70300000000000007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0.81300000000000006</c:v>
                </c:pt>
                <c:pt idx="814">
                  <c:v>0.81400000000000006</c:v>
                </c:pt>
                <c:pt idx="815">
                  <c:v>0.81500000000000006</c:v>
                </c:pt>
                <c:pt idx="816">
                  <c:v>0.81600000000000006</c:v>
                </c:pt>
                <c:pt idx="817">
                  <c:v>0.81700000000000006</c:v>
                </c:pt>
                <c:pt idx="818">
                  <c:v>0.81800000000000006</c:v>
                </c:pt>
                <c:pt idx="819">
                  <c:v>0.81900000000000006</c:v>
                </c:pt>
                <c:pt idx="820">
                  <c:v>0.82000000000000006</c:v>
                </c:pt>
                <c:pt idx="821">
                  <c:v>0.82100000000000006</c:v>
                </c:pt>
                <c:pt idx="822">
                  <c:v>0.82200000000000006</c:v>
                </c:pt>
                <c:pt idx="823">
                  <c:v>0.82300000000000006</c:v>
                </c:pt>
                <c:pt idx="824">
                  <c:v>0.82400000000000007</c:v>
                </c:pt>
                <c:pt idx="825">
                  <c:v>0.82500000000000007</c:v>
                </c:pt>
                <c:pt idx="826">
                  <c:v>0.82600000000000007</c:v>
                </c:pt>
                <c:pt idx="827">
                  <c:v>0.82700000000000007</c:v>
                </c:pt>
                <c:pt idx="828">
                  <c:v>0.82800000000000007</c:v>
                </c:pt>
                <c:pt idx="829">
                  <c:v>0.82900000000000007</c:v>
                </c:pt>
                <c:pt idx="830">
                  <c:v>0.83000000000000007</c:v>
                </c:pt>
                <c:pt idx="831">
                  <c:v>0.83100000000000007</c:v>
                </c:pt>
                <c:pt idx="832">
                  <c:v>0.83200000000000007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0.93800000000000006</c:v>
                </c:pt>
                <c:pt idx="939">
                  <c:v>0.93900000000000006</c:v>
                </c:pt>
                <c:pt idx="940">
                  <c:v>0.94000000000000006</c:v>
                </c:pt>
                <c:pt idx="941">
                  <c:v>0.94100000000000006</c:v>
                </c:pt>
                <c:pt idx="942">
                  <c:v>0.94200000000000006</c:v>
                </c:pt>
                <c:pt idx="943">
                  <c:v>0.94300000000000006</c:v>
                </c:pt>
                <c:pt idx="944">
                  <c:v>0.94400000000000006</c:v>
                </c:pt>
                <c:pt idx="945">
                  <c:v>0.94500000000000006</c:v>
                </c:pt>
                <c:pt idx="946">
                  <c:v>0.94600000000000006</c:v>
                </c:pt>
                <c:pt idx="947">
                  <c:v>0.94700000000000006</c:v>
                </c:pt>
                <c:pt idx="948">
                  <c:v>0.94800000000000006</c:v>
                </c:pt>
                <c:pt idx="949">
                  <c:v>0.94900000000000007</c:v>
                </c:pt>
                <c:pt idx="950">
                  <c:v>0.95000000000000007</c:v>
                </c:pt>
                <c:pt idx="951">
                  <c:v>0.95100000000000007</c:v>
                </c:pt>
                <c:pt idx="952">
                  <c:v>0.95200000000000007</c:v>
                </c:pt>
                <c:pt idx="953">
                  <c:v>0.95300000000000007</c:v>
                </c:pt>
                <c:pt idx="954">
                  <c:v>0.95400000000000007</c:v>
                </c:pt>
                <c:pt idx="955">
                  <c:v>0.95500000000000007</c:v>
                </c:pt>
                <c:pt idx="956">
                  <c:v>0.95600000000000007</c:v>
                </c:pt>
                <c:pt idx="957">
                  <c:v>0.95700000000000007</c:v>
                </c:pt>
                <c:pt idx="958">
                  <c:v>0.95800000000000007</c:v>
                </c:pt>
                <c:pt idx="959">
                  <c:v>0.95900000000000007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1.0010000000000001</c:v>
                </c:pt>
                <c:pt idx="1002">
                  <c:v>1.002</c:v>
                </c:pt>
                <c:pt idx="1003">
                  <c:v>1.0030000000000001</c:v>
                </c:pt>
                <c:pt idx="1004">
                  <c:v>1.004</c:v>
                </c:pt>
                <c:pt idx="1005">
                  <c:v>1.0050000000000001</c:v>
                </c:pt>
                <c:pt idx="1006">
                  <c:v>1.006</c:v>
                </c:pt>
                <c:pt idx="1007">
                  <c:v>1.0070000000000001</c:v>
                </c:pt>
                <c:pt idx="1008">
                  <c:v>1.008</c:v>
                </c:pt>
                <c:pt idx="1009">
                  <c:v>1.0090000000000001</c:v>
                </c:pt>
                <c:pt idx="1010">
                  <c:v>1.01</c:v>
                </c:pt>
                <c:pt idx="1011">
                  <c:v>1.0110000000000001</c:v>
                </c:pt>
                <c:pt idx="1012">
                  <c:v>1.012</c:v>
                </c:pt>
                <c:pt idx="1013">
                  <c:v>1.0130000000000001</c:v>
                </c:pt>
                <c:pt idx="1014">
                  <c:v>1.014</c:v>
                </c:pt>
                <c:pt idx="1015">
                  <c:v>1.0150000000000001</c:v>
                </c:pt>
                <c:pt idx="1016">
                  <c:v>1.016</c:v>
                </c:pt>
                <c:pt idx="1017">
                  <c:v>1.0170000000000001</c:v>
                </c:pt>
                <c:pt idx="1018">
                  <c:v>1.018</c:v>
                </c:pt>
                <c:pt idx="1019">
                  <c:v>1.0190000000000001</c:v>
                </c:pt>
                <c:pt idx="1020">
                  <c:v>1.02</c:v>
                </c:pt>
                <c:pt idx="1021">
                  <c:v>1.0210000000000001</c:v>
                </c:pt>
                <c:pt idx="1022">
                  <c:v>1.022</c:v>
                </c:pt>
                <c:pt idx="1023">
                  <c:v>1.0230000000000001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1.1260000000000001</c:v>
                </c:pt>
                <c:pt idx="1127">
                  <c:v>1.127</c:v>
                </c:pt>
                <c:pt idx="1128">
                  <c:v>1.1280000000000001</c:v>
                </c:pt>
                <c:pt idx="1129">
                  <c:v>1.129</c:v>
                </c:pt>
                <c:pt idx="1130">
                  <c:v>1.1300000000000001</c:v>
                </c:pt>
                <c:pt idx="1131">
                  <c:v>1.131</c:v>
                </c:pt>
                <c:pt idx="1132">
                  <c:v>1.1320000000000001</c:v>
                </c:pt>
                <c:pt idx="1133">
                  <c:v>1.133</c:v>
                </c:pt>
                <c:pt idx="1134">
                  <c:v>1.1340000000000001</c:v>
                </c:pt>
                <c:pt idx="1135">
                  <c:v>1.135</c:v>
                </c:pt>
                <c:pt idx="1136">
                  <c:v>1.1360000000000001</c:v>
                </c:pt>
                <c:pt idx="1137">
                  <c:v>1.137</c:v>
                </c:pt>
                <c:pt idx="1138">
                  <c:v>1.1380000000000001</c:v>
                </c:pt>
                <c:pt idx="1139">
                  <c:v>1.139</c:v>
                </c:pt>
                <c:pt idx="1140">
                  <c:v>1.1400000000000001</c:v>
                </c:pt>
                <c:pt idx="1141">
                  <c:v>1.141</c:v>
                </c:pt>
                <c:pt idx="1142">
                  <c:v>1.1420000000000001</c:v>
                </c:pt>
                <c:pt idx="1143">
                  <c:v>1.143</c:v>
                </c:pt>
                <c:pt idx="1144">
                  <c:v>1.1440000000000001</c:v>
                </c:pt>
                <c:pt idx="1145">
                  <c:v>1.145</c:v>
                </c:pt>
                <c:pt idx="1146">
                  <c:v>1.1460000000000001</c:v>
                </c:pt>
                <c:pt idx="1147">
                  <c:v>1.147</c:v>
                </c:pt>
                <c:pt idx="1148">
                  <c:v>1.1480000000000001</c:v>
                </c:pt>
                <c:pt idx="1149">
                  <c:v>1.149</c:v>
                </c:pt>
                <c:pt idx="1150">
                  <c:v>1.1500000000000001</c:v>
                </c:pt>
                <c:pt idx="1151">
                  <c:v>1.151</c:v>
                </c:pt>
                <c:pt idx="1152">
                  <c:v>1.1520000000000001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1.2510000000000001</c:v>
                </c:pt>
                <c:pt idx="1252">
                  <c:v>1.252</c:v>
                </c:pt>
                <c:pt idx="1253">
                  <c:v>1.2530000000000001</c:v>
                </c:pt>
                <c:pt idx="1254">
                  <c:v>1.254</c:v>
                </c:pt>
                <c:pt idx="1255">
                  <c:v>1.2550000000000001</c:v>
                </c:pt>
                <c:pt idx="1256">
                  <c:v>1.256</c:v>
                </c:pt>
                <c:pt idx="1257">
                  <c:v>1.2570000000000001</c:v>
                </c:pt>
                <c:pt idx="1258">
                  <c:v>1.258</c:v>
                </c:pt>
                <c:pt idx="1259">
                  <c:v>1.2590000000000001</c:v>
                </c:pt>
                <c:pt idx="1260">
                  <c:v>1.26</c:v>
                </c:pt>
                <c:pt idx="1261">
                  <c:v>1.2610000000000001</c:v>
                </c:pt>
                <c:pt idx="1262">
                  <c:v>1.262</c:v>
                </c:pt>
                <c:pt idx="1263">
                  <c:v>1.2630000000000001</c:v>
                </c:pt>
                <c:pt idx="1264">
                  <c:v>1.264</c:v>
                </c:pt>
                <c:pt idx="1265">
                  <c:v>1.2650000000000001</c:v>
                </c:pt>
                <c:pt idx="1266">
                  <c:v>1.266</c:v>
                </c:pt>
                <c:pt idx="1267">
                  <c:v>1.2670000000000001</c:v>
                </c:pt>
                <c:pt idx="1268">
                  <c:v>1.268</c:v>
                </c:pt>
                <c:pt idx="1269">
                  <c:v>1.2690000000000001</c:v>
                </c:pt>
                <c:pt idx="1270">
                  <c:v>1.27</c:v>
                </c:pt>
                <c:pt idx="1271">
                  <c:v>1.2710000000000001</c:v>
                </c:pt>
                <c:pt idx="1272">
                  <c:v>1.272</c:v>
                </c:pt>
                <c:pt idx="1273">
                  <c:v>1.2730000000000001</c:v>
                </c:pt>
                <c:pt idx="1274">
                  <c:v>1.274</c:v>
                </c:pt>
                <c:pt idx="1275">
                  <c:v>1.2750000000000001</c:v>
                </c:pt>
                <c:pt idx="1276">
                  <c:v>1.276</c:v>
                </c:pt>
                <c:pt idx="1277">
                  <c:v>1.2770000000000001</c:v>
                </c:pt>
                <c:pt idx="1278">
                  <c:v>1.278</c:v>
                </c:pt>
                <c:pt idx="1279">
                  <c:v>1.2790000000000001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1.3760000000000001</c:v>
                </c:pt>
                <c:pt idx="1377">
                  <c:v>1.377</c:v>
                </c:pt>
                <c:pt idx="1378">
                  <c:v>1.3780000000000001</c:v>
                </c:pt>
                <c:pt idx="1379">
                  <c:v>1.379</c:v>
                </c:pt>
                <c:pt idx="1380">
                  <c:v>1.3800000000000001</c:v>
                </c:pt>
                <c:pt idx="1381">
                  <c:v>1.381</c:v>
                </c:pt>
                <c:pt idx="1382">
                  <c:v>1.3820000000000001</c:v>
                </c:pt>
                <c:pt idx="1383">
                  <c:v>1.383</c:v>
                </c:pt>
                <c:pt idx="1384">
                  <c:v>1.3840000000000001</c:v>
                </c:pt>
                <c:pt idx="1385">
                  <c:v>1.385</c:v>
                </c:pt>
                <c:pt idx="1386">
                  <c:v>1.3860000000000001</c:v>
                </c:pt>
                <c:pt idx="1387">
                  <c:v>1.387</c:v>
                </c:pt>
                <c:pt idx="1388">
                  <c:v>1.3880000000000001</c:v>
                </c:pt>
                <c:pt idx="1389">
                  <c:v>1.389</c:v>
                </c:pt>
                <c:pt idx="1390">
                  <c:v>1.3900000000000001</c:v>
                </c:pt>
                <c:pt idx="1391">
                  <c:v>1.391</c:v>
                </c:pt>
                <c:pt idx="1392">
                  <c:v>1.3920000000000001</c:v>
                </c:pt>
                <c:pt idx="1393">
                  <c:v>1.393</c:v>
                </c:pt>
                <c:pt idx="1394">
                  <c:v>1.3940000000000001</c:v>
                </c:pt>
                <c:pt idx="1395">
                  <c:v>1.395</c:v>
                </c:pt>
                <c:pt idx="1396">
                  <c:v>1.3960000000000001</c:v>
                </c:pt>
                <c:pt idx="1397">
                  <c:v>1.397</c:v>
                </c:pt>
                <c:pt idx="1398">
                  <c:v>1.3980000000000001</c:v>
                </c:pt>
                <c:pt idx="1399">
                  <c:v>1.399</c:v>
                </c:pt>
                <c:pt idx="1400">
                  <c:v>1.4000000000000001</c:v>
                </c:pt>
                <c:pt idx="1401">
                  <c:v>1.401</c:v>
                </c:pt>
                <c:pt idx="1402">
                  <c:v>1.4020000000000001</c:v>
                </c:pt>
                <c:pt idx="1403">
                  <c:v>1.403</c:v>
                </c:pt>
                <c:pt idx="1404">
                  <c:v>1.4040000000000001</c:v>
                </c:pt>
                <c:pt idx="1405">
                  <c:v>1.405</c:v>
                </c:pt>
                <c:pt idx="1406">
                  <c:v>1.4060000000000001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</c:numCache>
            </c:numRef>
          </c:xVal>
          <c:yVal>
            <c:numRef>
              <c:f>fc!$L$2:$L$1502</c:f>
              <c:numCache>
                <c:formatCode>0.0000</c:formatCode>
                <c:ptCount val="1501"/>
                <c:pt idx="0">
                  <c:v>0.5</c:v>
                </c:pt>
                <c:pt idx="1">
                  <c:v>0.50119235395882389</c:v>
                </c:pt>
                <c:pt idx="2">
                  <c:v>0.50238231430072666</c:v>
                </c:pt>
                <c:pt idx="3">
                  <c:v>0.50356739800181982</c:v>
                </c:pt>
                <c:pt idx="4">
                  <c:v>0.50474521144518203</c:v>
                </c:pt>
                <c:pt idx="5">
                  <c:v>0.50591336101389206</c:v>
                </c:pt>
                <c:pt idx="6">
                  <c:v>0.50706936368406175</c:v>
                </c:pt>
                <c:pt idx="7">
                  <c:v>0.50821084073993084</c:v>
                </c:pt>
                <c:pt idx="8">
                  <c:v>0.50933535386109463</c:v>
                </c:pt>
                <c:pt idx="9">
                  <c:v>0.51044047217772892</c:v>
                </c:pt>
                <c:pt idx="10">
                  <c:v>0.51152379486185229</c:v>
                </c:pt>
                <c:pt idx="11">
                  <c:v>0.51258378569599561</c:v>
                </c:pt>
                <c:pt idx="12">
                  <c:v>0.51362256697550046</c:v>
                </c:pt>
                <c:pt idx="13">
                  <c:v>0.51464328254592917</c:v>
                </c:pt>
                <c:pt idx="14">
                  <c:v>0.51564886767992091</c:v>
                </c:pt>
                <c:pt idx="15">
                  <c:v>0.5166424662152137</c:v>
                </c:pt>
                <c:pt idx="16">
                  <c:v>0.51762711770404723</c:v>
                </c:pt>
                <c:pt idx="17">
                  <c:v>0.51860583188189391</c:v>
                </c:pt>
                <c:pt idx="18">
                  <c:v>0.51958171536632958</c:v>
                </c:pt>
                <c:pt idx="19">
                  <c:v>0.52055779279359693</c:v>
                </c:pt>
                <c:pt idx="20">
                  <c:v>0.52153708925635245</c:v>
                </c:pt>
                <c:pt idx="21">
                  <c:v>0.52252212154788602</c:v>
                </c:pt>
                <c:pt idx="22">
                  <c:v>0.52351260638944663</c:v>
                </c:pt>
                <c:pt idx="23">
                  <c:v>0.52450771586500677</c:v>
                </c:pt>
                <c:pt idx="24">
                  <c:v>0.5255067114534695</c:v>
                </c:pt>
                <c:pt idx="25">
                  <c:v>0.52650864601390834</c:v>
                </c:pt>
                <c:pt idx="26">
                  <c:v>0.52751278102604138</c:v>
                </c:pt>
                <c:pt idx="27">
                  <c:v>0.52851825875929459</c:v>
                </c:pt>
                <c:pt idx="28">
                  <c:v>0.52952423638588464</c:v>
                </c:pt>
                <c:pt idx="29">
                  <c:v>0.53052990087787477</c:v>
                </c:pt>
                <c:pt idx="30">
                  <c:v>0.53153441007491942</c:v>
                </c:pt>
                <c:pt idx="31">
                  <c:v>0.53253716471362611</c:v>
                </c:pt>
                <c:pt idx="32">
                  <c:v>0.5335381625625486</c:v>
                </c:pt>
                <c:pt idx="33">
                  <c:v>0.53453758602714618</c:v>
                </c:pt>
                <c:pt idx="34">
                  <c:v>0.53553567711024708</c:v>
                </c:pt>
                <c:pt idx="35">
                  <c:v>0.53653264801539835</c:v>
                </c:pt>
                <c:pt idx="36">
                  <c:v>0.53752874074850887</c:v>
                </c:pt>
                <c:pt idx="37">
                  <c:v>0.53852412280922146</c:v>
                </c:pt>
                <c:pt idx="38">
                  <c:v>0.53951901385081369</c:v>
                </c:pt>
                <c:pt idx="39">
                  <c:v>0.54051363352757209</c:v>
                </c:pt>
                <c:pt idx="40">
                  <c:v>0.54150818748377505</c:v>
                </c:pt>
                <c:pt idx="41">
                  <c:v>0.5425028490266528</c:v>
                </c:pt>
                <c:pt idx="42">
                  <c:v>0.54349762709879812</c:v>
                </c:pt>
                <c:pt idx="43">
                  <c:v>0.54449242558320965</c:v>
                </c:pt>
                <c:pt idx="44">
                  <c:v>0.54548711856085486</c:v>
                </c:pt>
                <c:pt idx="45">
                  <c:v>0.54648175892672368</c:v>
                </c:pt>
                <c:pt idx="46">
                  <c:v>0.54747619095944144</c:v>
                </c:pt>
                <c:pt idx="47">
                  <c:v>0.5484703781469481</c:v>
                </c:pt>
                <c:pt idx="48">
                  <c:v>0.54946427652652985</c:v>
                </c:pt>
                <c:pt idx="49">
                  <c:v>0.55045778625629393</c:v>
                </c:pt>
                <c:pt idx="50">
                  <c:v>0.5514508663572848</c:v>
                </c:pt>
                <c:pt idx="51">
                  <c:v>0.55244341404850383</c:v>
                </c:pt>
                <c:pt idx="52">
                  <c:v>0.55343546002010313</c:v>
                </c:pt>
                <c:pt idx="53">
                  <c:v>0.55442704245964902</c:v>
                </c:pt>
                <c:pt idx="54">
                  <c:v>0.55541811014672859</c:v>
                </c:pt>
                <c:pt idx="55">
                  <c:v>0.55640873107028077</c:v>
                </c:pt>
                <c:pt idx="56">
                  <c:v>0.55739888381215585</c:v>
                </c:pt>
                <c:pt idx="57">
                  <c:v>0.55838856185540342</c:v>
                </c:pt>
                <c:pt idx="58">
                  <c:v>0.55937780338668852</c:v>
                </c:pt>
                <c:pt idx="59">
                  <c:v>0.56036658698770836</c:v>
                </c:pt>
                <c:pt idx="60">
                  <c:v>0.56135495217311049</c:v>
                </c:pt>
                <c:pt idx="61">
                  <c:v>0.5623428240685594</c:v>
                </c:pt>
                <c:pt idx="62">
                  <c:v>0.56333034785471503</c:v>
                </c:pt>
                <c:pt idx="63">
                  <c:v>0.56431739306811268</c:v>
                </c:pt>
                <c:pt idx="64">
                  <c:v>0.56530394845376419</c:v>
                </c:pt>
                <c:pt idx="65">
                  <c:v>0.56629006236108503</c:v>
                </c:pt>
                <c:pt idx="66">
                  <c:v>0.56727569373292974</c:v>
                </c:pt>
                <c:pt idx="67">
                  <c:v>0.56826081641296067</c:v>
                </c:pt>
                <c:pt idx="68">
                  <c:v>0.56924544149808187</c:v>
                </c:pt>
                <c:pt idx="69">
                  <c:v>0.57022954655731306</c:v>
                </c:pt>
                <c:pt idx="70">
                  <c:v>0.57121310886656051</c:v>
                </c:pt>
                <c:pt idx="71">
                  <c:v>0.57219619857077264</c:v>
                </c:pt>
                <c:pt idx="72">
                  <c:v>0.57317868362528257</c:v>
                </c:pt>
                <c:pt idx="73">
                  <c:v>0.57416061739813318</c:v>
                </c:pt>
                <c:pt idx="74">
                  <c:v>0.57514202345611831</c:v>
                </c:pt>
                <c:pt idx="75">
                  <c:v>0.57612280615667255</c:v>
                </c:pt>
                <c:pt idx="76">
                  <c:v>0.57710307847375564</c:v>
                </c:pt>
                <c:pt idx="77">
                  <c:v>0.57808275966583067</c:v>
                </c:pt>
                <c:pt idx="78">
                  <c:v>0.57906185839859492</c:v>
                </c:pt>
                <c:pt idx="79">
                  <c:v>0.58004036098593781</c:v>
                </c:pt>
                <c:pt idx="80">
                  <c:v>0.58101825549496711</c:v>
                </c:pt>
                <c:pt idx="81">
                  <c:v>0.58199558884597957</c:v>
                </c:pt>
                <c:pt idx="82">
                  <c:v>0.58297228444430238</c:v>
                </c:pt>
                <c:pt idx="83">
                  <c:v>0.58394836530992589</c:v>
                </c:pt>
                <c:pt idx="84">
                  <c:v>0.58492382465829607</c:v>
                </c:pt>
                <c:pt idx="85">
                  <c:v>0.58589865570571309</c:v>
                </c:pt>
                <c:pt idx="86">
                  <c:v>0.58687288147111027</c:v>
                </c:pt>
                <c:pt idx="87">
                  <c:v>0.58784643556564697</c:v>
                </c:pt>
                <c:pt idx="88">
                  <c:v>0.58881935590951828</c:v>
                </c:pt>
                <c:pt idx="89">
                  <c:v>0.58979161336693042</c:v>
                </c:pt>
                <c:pt idx="90">
                  <c:v>0.59076323492194927</c:v>
                </c:pt>
                <c:pt idx="91">
                  <c:v>0.59173412564482308</c:v>
                </c:pt>
                <c:pt idx="92">
                  <c:v>0.59270437021240641</c:v>
                </c:pt>
                <c:pt idx="93">
                  <c:v>0.59367393186802764</c:v>
                </c:pt>
                <c:pt idx="94">
                  <c:v>0.5946428334596594</c:v>
                </c:pt>
                <c:pt idx="95">
                  <c:v>0.59561100842830761</c:v>
                </c:pt>
                <c:pt idx="96">
                  <c:v>0.59657849452327882</c:v>
                </c:pt>
                <c:pt idx="97">
                  <c:v>0.59754525498762556</c:v>
                </c:pt>
                <c:pt idx="98">
                  <c:v>0.59851130521882312</c:v>
                </c:pt>
                <c:pt idx="99">
                  <c:v>0.59947662708665117</c:v>
                </c:pt>
                <c:pt idx="100">
                  <c:v>0.60044118611832609</c:v>
                </c:pt>
                <c:pt idx="101">
                  <c:v>0.6014050642486064</c:v>
                </c:pt>
                <c:pt idx="102">
                  <c:v>0.60236819762136284</c:v>
                </c:pt>
                <c:pt idx="103">
                  <c:v>0.60333055022065984</c:v>
                </c:pt>
                <c:pt idx="104">
                  <c:v>0.60429214563667433</c:v>
                </c:pt>
                <c:pt idx="105">
                  <c:v>0.60525297765725938</c:v>
                </c:pt>
                <c:pt idx="106">
                  <c:v>0.60621305497143241</c:v>
                </c:pt>
                <c:pt idx="107">
                  <c:v>0.60717234156472422</c:v>
                </c:pt>
                <c:pt idx="108">
                  <c:v>0.60813084612615043</c:v>
                </c:pt>
                <c:pt idx="109">
                  <c:v>0.60908856616885554</c:v>
                </c:pt>
                <c:pt idx="110">
                  <c:v>0.61004546997612119</c:v>
                </c:pt>
                <c:pt idx="111">
                  <c:v>0.61100163901094195</c:v>
                </c:pt>
                <c:pt idx="112">
                  <c:v>0.61195694130957301</c:v>
                </c:pt>
                <c:pt idx="113">
                  <c:v>0.61291143001346549</c:v>
                </c:pt>
                <c:pt idx="114">
                  <c:v>0.61386512846174723</c:v>
                </c:pt>
                <c:pt idx="115">
                  <c:v>0.61481797058657972</c:v>
                </c:pt>
                <c:pt idx="116">
                  <c:v>0.61577002443078155</c:v>
                </c:pt>
                <c:pt idx="117">
                  <c:v>0.61672120902502259</c:v>
                </c:pt>
                <c:pt idx="118">
                  <c:v>0.61767154770853094</c:v>
                </c:pt>
                <c:pt idx="119">
                  <c:v>0.61862103401811208</c:v>
                </c:pt>
                <c:pt idx="120">
                  <c:v>0.61956964914485091</c:v>
                </c:pt>
                <c:pt idx="121">
                  <c:v>0.62051745036124928</c:v>
                </c:pt>
                <c:pt idx="122">
                  <c:v>0.62146432083065062</c:v>
                </c:pt>
                <c:pt idx="123">
                  <c:v>0.6224103441146227</c:v>
                </c:pt>
                <c:pt idx="124">
                  <c:v>0.62335548456716217</c:v>
                </c:pt>
                <c:pt idx="125">
                  <c:v>0.62429970654215894</c:v>
                </c:pt>
                <c:pt idx="126">
                  <c:v>0.62524307870206075</c:v>
                </c:pt>
                <c:pt idx="127">
                  <c:v>0.62618552069705868</c:v>
                </c:pt>
                <c:pt idx="128">
                  <c:v>0.62712706393648265</c:v>
                </c:pt>
                <c:pt idx="129">
                  <c:v>0.62806769140078134</c:v>
                </c:pt>
                <c:pt idx="130">
                  <c:v>0.62900740547160683</c:v>
                </c:pt>
                <c:pt idx="131">
                  <c:v>0.62994617963545918</c:v>
                </c:pt>
                <c:pt idx="132">
                  <c:v>0.63088408369923676</c:v>
                </c:pt>
                <c:pt idx="133">
                  <c:v>0.63182099248940282</c:v>
                </c:pt>
                <c:pt idx="134">
                  <c:v>0.63275695964294176</c:v>
                </c:pt>
                <c:pt idx="135">
                  <c:v>0.63369200899594225</c:v>
                </c:pt>
                <c:pt idx="136">
                  <c:v>0.63462607497754409</c:v>
                </c:pt>
                <c:pt idx="137">
                  <c:v>0.63555919632446523</c:v>
                </c:pt>
                <c:pt idx="138">
                  <c:v>0.6364913670708755</c:v>
                </c:pt>
                <c:pt idx="139">
                  <c:v>0.63742254399698017</c:v>
                </c:pt>
                <c:pt idx="140">
                  <c:v>0.63835271313090403</c:v>
                </c:pt>
                <c:pt idx="141">
                  <c:v>0.63928197502301964</c:v>
                </c:pt>
                <c:pt idx="142">
                  <c:v>0.64021024821896466</c:v>
                </c:pt>
                <c:pt idx="143">
                  <c:v>0.64113746781867953</c:v>
                </c:pt>
                <c:pt idx="144">
                  <c:v>0.64206368812971437</c:v>
                </c:pt>
                <c:pt idx="145">
                  <c:v>0.64298890385636942</c:v>
                </c:pt>
                <c:pt idx="146">
                  <c:v>0.64391316930810316</c:v>
                </c:pt>
                <c:pt idx="147">
                  <c:v>0.64483637488027679</c:v>
                </c:pt>
                <c:pt idx="148">
                  <c:v>0.64575857488251098</c:v>
                </c:pt>
                <c:pt idx="149">
                  <c:v>0.64667973421620695</c:v>
                </c:pt>
                <c:pt idx="150">
                  <c:v>0.64759984207351329</c:v>
                </c:pt>
                <c:pt idx="151">
                  <c:v>0.64851896144015797</c:v>
                </c:pt>
                <c:pt idx="152">
                  <c:v>0.64943703913492867</c:v>
                </c:pt>
                <c:pt idx="153">
                  <c:v>0.6503540102402261</c:v>
                </c:pt>
                <c:pt idx="154">
                  <c:v>0.65126998865053165</c:v>
                </c:pt>
                <c:pt idx="155">
                  <c:v>0.65218490944870944</c:v>
                </c:pt>
                <c:pt idx="156">
                  <c:v>0.65309873751899816</c:v>
                </c:pt>
                <c:pt idx="157">
                  <c:v>0.65401149734990616</c:v>
                </c:pt>
                <c:pt idx="158">
                  <c:v>0.65492319852983016</c:v>
                </c:pt>
                <c:pt idx="159">
                  <c:v>0.65583382084365327</c:v>
                </c:pt>
                <c:pt idx="160">
                  <c:v>0.65674334734662321</c:v>
                </c:pt>
                <c:pt idx="161">
                  <c:v>0.657651785463648</c:v>
                </c:pt>
                <c:pt idx="162">
                  <c:v>0.65855918860584017</c:v>
                </c:pt>
                <c:pt idx="163">
                  <c:v>0.65946540267867115</c:v>
                </c:pt>
                <c:pt idx="164">
                  <c:v>0.6603705418044874</c:v>
                </c:pt>
                <c:pt idx="165">
                  <c:v>0.66127457109570686</c:v>
                </c:pt>
                <c:pt idx="166">
                  <c:v>0.6621774854670911</c:v>
                </c:pt>
                <c:pt idx="167">
                  <c:v>0.6630792947339138</c:v>
                </c:pt>
                <c:pt idx="168">
                  <c:v>0.66397996400906856</c:v>
                </c:pt>
                <c:pt idx="169">
                  <c:v>0.66487951055826122</c:v>
                </c:pt>
                <c:pt idx="170">
                  <c:v>0.66577786062777833</c:v>
                </c:pt>
                <c:pt idx="171">
                  <c:v>0.66667515356338691</c:v>
                </c:pt>
                <c:pt idx="172">
                  <c:v>0.66757130184942304</c:v>
                </c:pt>
                <c:pt idx="173">
                  <c:v>0.66846630118306172</c:v>
                </c:pt>
                <c:pt idx="174">
                  <c:v>0.66936011745720725</c:v>
                </c:pt>
                <c:pt idx="175">
                  <c:v>0.67025274636870613</c:v>
                </c:pt>
                <c:pt idx="176">
                  <c:v>0.67114427302195923</c:v>
                </c:pt>
                <c:pt idx="177">
                  <c:v>0.6720346186070707</c:v>
                </c:pt>
                <c:pt idx="178">
                  <c:v>0.67292377882166676</c:v>
                </c:pt>
                <c:pt idx="179">
                  <c:v>0.67381177171366469</c:v>
                </c:pt>
                <c:pt idx="180">
                  <c:v>0.6746985791482103</c:v>
                </c:pt>
                <c:pt idx="181">
                  <c:v>0.67558423654509636</c:v>
                </c:pt>
                <c:pt idx="182">
                  <c:v>0.67646864615495517</c:v>
                </c:pt>
                <c:pt idx="183">
                  <c:v>0.67735189258201944</c:v>
                </c:pt>
                <c:pt idx="184">
                  <c:v>0.67823394121911573</c:v>
                </c:pt>
                <c:pt idx="185">
                  <c:v>0.67911478726403873</c:v>
                </c:pt>
                <c:pt idx="186">
                  <c:v>0.67999445571582329</c:v>
                </c:pt>
                <c:pt idx="187">
                  <c:v>0.68087286726494733</c:v>
                </c:pt>
                <c:pt idx="188">
                  <c:v>0.68175007671353849</c:v>
                </c:pt>
                <c:pt idx="189">
                  <c:v>0.68262607180713819</c:v>
                </c:pt>
                <c:pt idx="190">
                  <c:v>0.68350081258819906</c:v>
                </c:pt>
                <c:pt idx="191">
                  <c:v>0.68437437249539779</c:v>
                </c:pt>
                <c:pt idx="192">
                  <c:v>0.68524669716836684</c:v>
                </c:pt>
                <c:pt idx="193">
                  <c:v>0.68611772318442299</c:v>
                </c:pt>
                <c:pt idx="194">
                  <c:v>0.68698750632562167</c:v>
                </c:pt>
                <c:pt idx="195">
                  <c:v>0.68785607257344528</c:v>
                </c:pt>
                <c:pt idx="196">
                  <c:v>0.68872341810768989</c:v>
                </c:pt>
                <c:pt idx="197">
                  <c:v>0.68958946460069448</c:v>
                </c:pt>
                <c:pt idx="198">
                  <c:v>0.69045428273826892</c:v>
                </c:pt>
                <c:pt idx="199">
                  <c:v>0.69131781654478441</c:v>
                </c:pt>
                <c:pt idx="200">
                  <c:v>0.69218012666534168</c:v>
                </c:pt>
                <c:pt idx="201">
                  <c:v>0.69304111002788504</c:v>
                </c:pt>
                <c:pt idx="202">
                  <c:v>0.69390087965292424</c:v>
                </c:pt>
                <c:pt idx="203">
                  <c:v>0.69475928281291743</c:v>
                </c:pt>
                <c:pt idx="204">
                  <c:v>0.69561646479875405</c:v>
                </c:pt>
                <c:pt idx="205">
                  <c:v>0.69647236228790466</c:v>
                </c:pt>
                <c:pt idx="206">
                  <c:v>0.6973269715613245</c:v>
                </c:pt>
                <c:pt idx="207">
                  <c:v>0.69818027399834681</c:v>
                </c:pt>
                <c:pt idx="208">
                  <c:v>0.69903229568307523</c:v>
                </c:pt>
                <c:pt idx="209">
                  <c:v>0.69988300309350648</c:v>
                </c:pt>
                <c:pt idx="210">
                  <c:v>0.7007323981175404</c:v>
                </c:pt>
                <c:pt idx="211">
                  <c:v>0.70158052018887407</c:v>
                </c:pt>
                <c:pt idx="212">
                  <c:v>0.70242733181878114</c:v>
                </c:pt>
                <c:pt idx="213">
                  <c:v>0.70327279957902689</c:v>
                </c:pt>
                <c:pt idx="214">
                  <c:v>0.7041169496411922</c:v>
                </c:pt>
                <c:pt idx="215">
                  <c:v>0.70495980817887616</c:v>
                </c:pt>
                <c:pt idx="216">
                  <c:v>0.70580134176105969</c:v>
                </c:pt>
                <c:pt idx="217">
                  <c:v>0.70664150205478338</c:v>
                </c:pt>
                <c:pt idx="218">
                  <c:v>0.70748037483886239</c:v>
                </c:pt>
                <c:pt idx="219">
                  <c:v>0.70831788942841711</c:v>
                </c:pt>
                <c:pt idx="220">
                  <c:v>0.70915409535274432</c:v>
                </c:pt>
                <c:pt idx="221">
                  <c:v>0.70998890166847772</c:v>
                </c:pt>
                <c:pt idx="222">
                  <c:v>0.71082242134095175</c:v>
                </c:pt>
                <c:pt idx="223">
                  <c:v>0.71165456182049058</c:v>
                </c:pt>
                <c:pt idx="224">
                  <c:v>0.7124853199594221</c:v>
                </c:pt>
                <c:pt idx="225">
                  <c:v>0.7133147522166271</c:v>
                </c:pt>
                <c:pt idx="226">
                  <c:v>0.71414285544703537</c:v>
                </c:pt>
                <c:pt idx="227">
                  <c:v>0.71496955199796941</c:v>
                </c:pt>
                <c:pt idx="228">
                  <c:v>0.71579491323039179</c:v>
                </c:pt>
                <c:pt idx="229">
                  <c:v>0.71661889129426448</c:v>
                </c:pt>
                <c:pt idx="230">
                  <c:v>0.71744155408885224</c:v>
                </c:pt>
                <c:pt idx="231">
                  <c:v>0.71826274371367249</c:v>
                </c:pt>
                <c:pt idx="232">
                  <c:v>0.71908261571223098</c:v>
                </c:pt>
                <c:pt idx="233">
                  <c:v>0.71990104820890288</c:v>
                </c:pt>
                <c:pt idx="234">
                  <c:v>0.72071815774145387</c:v>
                </c:pt>
                <c:pt idx="235">
                  <c:v>0.72153388203678714</c:v>
                </c:pt>
                <c:pt idx="236">
                  <c:v>0.72234818862287253</c:v>
                </c:pt>
                <c:pt idx="237">
                  <c:v>0.72316111953298734</c:v>
                </c:pt>
                <c:pt idx="238">
                  <c:v>0.72397265719715653</c:v>
                </c:pt>
                <c:pt idx="239">
                  <c:v>0.72478280639556669</c:v>
                </c:pt>
                <c:pt idx="240">
                  <c:v>0.72559151667620125</c:v>
                </c:pt>
                <c:pt idx="241">
                  <c:v>0.72639885553063965</c:v>
                </c:pt>
                <c:pt idx="242">
                  <c:v>0.72720484996046941</c:v>
                </c:pt>
                <c:pt idx="243">
                  <c:v>0.72800937798750087</c:v>
                </c:pt>
                <c:pt idx="244">
                  <c:v>0.72881246663997823</c:v>
                </c:pt>
                <c:pt idx="245">
                  <c:v>0.72961417275063234</c:v>
                </c:pt>
                <c:pt idx="246">
                  <c:v>0.7304144935475777</c:v>
                </c:pt>
                <c:pt idx="247">
                  <c:v>0.73121335175228708</c:v>
                </c:pt>
                <c:pt idx="248">
                  <c:v>0.73201081909926524</c:v>
                </c:pt>
                <c:pt idx="249">
                  <c:v>0.73280684811211638</c:v>
                </c:pt>
                <c:pt idx="250">
                  <c:v>0.73360145092010498</c:v>
                </c:pt>
                <c:pt idx="251">
                  <c:v>0.73439463836507146</c:v>
                </c:pt>
                <c:pt idx="252">
                  <c:v>0.73518639464162616</c:v>
                </c:pt>
                <c:pt idx="253">
                  <c:v>0.73597665795405176</c:v>
                </c:pt>
                <c:pt idx="254">
                  <c:v>0.73676554531800964</c:v>
                </c:pt>
                <c:pt idx="255">
                  <c:v>0.73755299493842175</c:v>
                </c:pt>
                <c:pt idx="256">
                  <c:v>0.73833900462354785</c:v>
                </c:pt>
                <c:pt idx="257">
                  <c:v>0.73912355727996903</c:v>
                </c:pt>
                <c:pt idx="258">
                  <c:v>0.73990668051919739</c:v>
                </c:pt>
                <c:pt idx="259">
                  <c:v>0.74068834234645764</c:v>
                </c:pt>
                <c:pt idx="260">
                  <c:v>0.74146854807088169</c:v>
                </c:pt>
                <c:pt idx="261">
                  <c:v>0.74224733152513633</c:v>
                </c:pt>
                <c:pt idx="262">
                  <c:v>0.74302466218334251</c:v>
                </c:pt>
                <c:pt idx="263">
                  <c:v>0.74380047853903608</c:v>
                </c:pt>
                <c:pt idx="264">
                  <c:v>0.74457489789709208</c:v>
                </c:pt>
                <c:pt idx="265">
                  <c:v>0.74534782894937235</c:v>
                </c:pt>
                <c:pt idx="266">
                  <c:v>0.74611932939802461</c:v>
                </c:pt>
                <c:pt idx="267">
                  <c:v>0.7468893377353808</c:v>
                </c:pt>
                <c:pt idx="268">
                  <c:v>0.74765791166453233</c:v>
                </c:pt>
                <c:pt idx="269">
                  <c:v>0.74842499712819388</c:v>
                </c:pt>
                <c:pt idx="270">
                  <c:v>0.74919059138750532</c:v>
                </c:pt>
                <c:pt idx="271">
                  <c:v>0.74995477439218194</c:v>
                </c:pt>
                <c:pt idx="272">
                  <c:v>0.75071748575479824</c:v>
                </c:pt>
                <c:pt idx="273">
                  <c:v>0.75147866414733699</c:v>
                </c:pt>
                <c:pt idx="274">
                  <c:v>0.75223839725076413</c:v>
                </c:pt>
                <c:pt idx="275">
                  <c:v>0.75299665354004164</c:v>
                </c:pt>
                <c:pt idx="276">
                  <c:v>0.75375343129111094</c:v>
                </c:pt>
                <c:pt idx="277">
                  <c:v>0.75450872877937958</c:v>
                </c:pt>
                <c:pt idx="278">
                  <c:v>0.75526254428174544</c:v>
                </c:pt>
                <c:pt idx="279">
                  <c:v>0.75601487607341566</c:v>
                </c:pt>
                <c:pt idx="280">
                  <c:v>0.75676575132996327</c:v>
                </c:pt>
                <c:pt idx="281">
                  <c:v>0.7575150755502964</c:v>
                </c:pt>
                <c:pt idx="282">
                  <c:v>0.75826297086255934</c:v>
                </c:pt>
                <c:pt idx="283">
                  <c:v>0.75900931670350325</c:v>
                </c:pt>
                <c:pt idx="284">
                  <c:v>0.75975420112347725</c:v>
                </c:pt>
                <c:pt idx="285">
                  <c:v>0.76049762276918664</c:v>
                </c:pt>
                <c:pt idx="286">
                  <c:v>0.76123952068133349</c:v>
                </c:pt>
                <c:pt idx="287">
                  <c:v>0.76197992330704745</c:v>
                </c:pt>
                <c:pt idx="288">
                  <c:v>0.76271884419380365</c:v>
                </c:pt>
                <c:pt idx="289">
                  <c:v>0.76345625963446062</c:v>
                </c:pt>
                <c:pt idx="290">
                  <c:v>0.76419215211817781</c:v>
                </c:pt>
                <c:pt idx="291">
                  <c:v>0.76492657145754983</c:v>
                </c:pt>
                <c:pt idx="292">
                  <c:v>0.76565948888102431</c:v>
                </c:pt>
                <c:pt idx="293">
                  <c:v>0.7663909031774645</c:v>
                </c:pt>
                <c:pt idx="294">
                  <c:v>0.76712078333072786</c:v>
                </c:pt>
                <c:pt idx="295">
                  <c:v>0.7678492175373155</c:v>
                </c:pt>
                <c:pt idx="296">
                  <c:v>0.76857611517842273</c:v>
                </c:pt>
                <c:pt idx="297">
                  <c:v>0.7693014750416679</c:v>
                </c:pt>
                <c:pt idx="298">
                  <c:v>0.77002535552083484</c:v>
                </c:pt>
                <c:pt idx="299">
                  <c:v>0.77074771815043419</c:v>
                </c:pt>
                <c:pt idx="300">
                  <c:v>0.77146854559149969</c:v>
                </c:pt>
                <c:pt idx="301">
                  <c:v>0.77218792903159761</c:v>
                </c:pt>
                <c:pt idx="302">
                  <c:v>0.77290573935447937</c:v>
                </c:pt>
                <c:pt idx="303">
                  <c:v>0.773622035474826</c:v>
                </c:pt>
                <c:pt idx="304">
                  <c:v>0.77433684650229129</c:v>
                </c:pt>
                <c:pt idx="305">
                  <c:v>0.77505014194526567</c:v>
                </c:pt>
                <c:pt idx="306">
                  <c:v>0.77576189131075646</c:v>
                </c:pt>
                <c:pt idx="307">
                  <c:v>0.77647213861102915</c:v>
                </c:pt>
                <c:pt idx="308">
                  <c:v>0.77718088315639788</c:v>
                </c:pt>
                <c:pt idx="309">
                  <c:v>0.77788808700253476</c:v>
                </c:pt>
                <c:pt idx="310">
                  <c:v>0.77859377011207198</c:v>
                </c:pt>
                <c:pt idx="311">
                  <c:v>0.779297934361733</c:v>
                </c:pt>
                <c:pt idx="312">
                  <c:v>0.78000063768155858</c:v>
                </c:pt>
                <c:pt idx="313">
                  <c:v>0.78070170045190102</c:v>
                </c:pt>
                <c:pt idx="314">
                  <c:v>0.78140133048058702</c:v>
                </c:pt>
                <c:pt idx="315">
                  <c:v>0.7820994375556154</c:v>
                </c:pt>
                <c:pt idx="316">
                  <c:v>0.7827959910682416</c:v>
                </c:pt>
                <c:pt idx="317">
                  <c:v>0.78349102001381432</c:v>
                </c:pt>
                <c:pt idx="318">
                  <c:v>0.78418455338922233</c:v>
                </c:pt>
                <c:pt idx="319">
                  <c:v>0.78487653078263986</c:v>
                </c:pt>
                <c:pt idx="320">
                  <c:v>0.78556701597858869</c:v>
                </c:pt>
                <c:pt idx="321">
                  <c:v>0.78625594963325973</c:v>
                </c:pt>
                <c:pt idx="322">
                  <c:v>0.78694335535765803</c:v>
                </c:pt>
                <c:pt idx="323">
                  <c:v>0.7876291734093126</c:v>
                </c:pt>
                <c:pt idx="324">
                  <c:v>0.78831355265927683</c:v>
                </c:pt>
                <c:pt idx="325">
                  <c:v>0.78899637376111753</c:v>
                </c:pt>
                <c:pt idx="326">
                  <c:v>0.78967766637861769</c:v>
                </c:pt>
                <c:pt idx="327">
                  <c:v>0.79035741547152205</c:v>
                </c:pt>
                <c:pt idx="328">
                  <c:v>0.79103566560576855</c:v>
                </c:pt>
                <c:pt idx="329">
                  <c:v>0.79171236448799076</c:v>
                </c:pt>
                <c:pt idx="330">
                  <c:v>0.7923875104836815</c:v>
                </c:pt>
                <c:pt idx="331">
                  <c:v>0.79306121454674772</c:v>
                </c:pt>
                <c:pt idx="332">
                  <c:v>0.79373332964467447</c:v>
                </c:pt>
                <c:pt idx="333">
                  <c:v>0.79440385559426419</c:v>
                </c:pt>
                <c:pt idx="334">
                  <c:v>0.7950729412211972</c:v>
                </c:pt>
                <c:pt idx="335">
                  <c:v>0.79574046713367019</c:v>
                </c:pt>
                <c:pt idx="336">
                  <c:v>0.79640649275241626</c:v>
                </c:pt>
                <c:pt idx="337">
                  <c:v>0.79707092848600292</c:v>
                </c:pt>
                <c:pt idx="338">
                  <c:v>0.79773387845964172</c:v>
                </c:pt>
                <c:pt idx="339">
                  <c:v>0.79839528288401374</c:v>
                </c:pt>
                <c:pt idx="340">
                  <c:v>0.79905516899334816</c:v>
                </c:pt>
                <c:pt idx="341">
                  <c:v>0.79971353608523355</c:v>
                </c:pt>
                <c:pt idx="342">
                  <c:v>0.80037031259255509</c:v>
                </c:pt>
                <c:pt idx="343">
                  <c:v>0.80102555815590337</c:v>
                </c:pt>
                <c:pt idx="344">
                  <c:v>0.80167933241313172</c:v>
                </c:pt>
                <c:pt idx="345">
                  <c:v>0.80233157579622594</c:v>
                </c:pt>
                <c:pt idx="346">
                  <c:v>0.80298225853809457</c:v>
                </c:pt>
                <c:pt idx="347">
                  <c:v>0.80363141047573639</c:v>
                </c:pt>
                <c:pt idx="348">
                  <c:v>0.80427904654653981</c:v>
                </c:pt>
                <c:pt idx="349">
                  <c:v>0.80492514443323027</c:v>
                </c:pt>
                <c:pt idx="350">
                  <c:v>0.80556971550351208</c:v>
                </c:pt>
                <c:pt idx="351">
                  <c:v>0.80621274960255129</c:v>
                </c:pt>
                <c:pt idx="352">
                  <c:v>0.80685425368486852</c:v>
                </c:pt>
                <c:pt idx="353">
                  <c:v>0.80749422839675689</c:v>
                </c:pt>
                <c:pt idx="354">
                  <c:v>0.8081326743817594</c:v>
                </c:pt>
                <c:pt idx="355">
                  <c:v>0.80876959228684409</c:v>
                </c:pt>
                <c:pt idx="356">
                  <c:v>0.80940501255990327</c:v>
                </c:pt>
                <c:pt idx="357">
                  <c:v>0.81003886134014513</c:v>
                </c:pt>
                <c:pt idx="358">
                  <c:v>0.81067119887878003</c:v>
                </c:pt>
                <c:pt idx="359">
                  <c:v>0.81130201837003324</c:v>
                </c:pt>
                <c:pt idx="360">
                  <c:v>0.8119312741031266</c:v>
                </c:pt>
                <c:pt idx="361">
                  <c:v>0.81255909886671629</c:v>
                </c:pt>
                <c:pt idx="362">
                  <c:v>0.81318533993272213</c:v>
                </c:pt>
                <c:pt idx="363">
                  <c:v>0.81380999741495486</c:v>
                </c:pt>
                <c:pt idx="364">
                  <c:v>0.81443322043611166</c:v>
                </c:pt>
                <c:pt idx="365">
                  <c:v>0.81505488990139496</c:v>
                </c:pt>
                <c:pt idx="366">
                  <c:v>0.81567503572622624</c:v>
                </c:pt>
                <c:pt idx="367">
                  <c:v>0.81629365802315201</c:v>
                </c:pt>
                <c:pt idx="368">
                  <c:v>0.8169107569062628</c:v>
                </c:pt>
                <c:pt idx="369">
                  <c:v>0.81752633248789719</c:v>
                </c:pt>
                <c:pt idx="370">
                  <c:v>0.81814041172310004</c:v>
                </c:pt>
                <c:pt idx="371">
                  <c:v>0.81875294779159646</c:v>
                </c:pt>
                <c:pt idx="372">
                  <c:v>0.81936396207545947</c:v>
                </c:pt>
                <c:pt idx="373">
                  <c:v>0.81997339626062982</c:v>
                </c:pt>
                <c:pt idx="374">
                  <c:v>0.82058137084425964</c:v>
                </c:pt>
                <c:pt idx="375">
                  <c:v>0.82118782751297059</c:v>
                </c:pt>
                <c:pt idx="376">
                  <c:v>0.82179276755663755</c:v>
                </c:pt>
                <c:pt idx="377">
                  <c:v>0.82239617736342197</c:v>
                </c:pt>
                <c:pt idx="378">
                  <c:v>0.82299808802651175</c:v>
                </c:pt>
                <c:pt idx="379">
                  <c:v>0.82359847848327961</c:v>
                </c:pt>
                <c:pt idx="380">
                  <c:v>0.82419733056039091</c:v>
                </c:pt>
                <c:pt idx="381">
                  <c:v>0.82479476090737669</c:v>
                </c:pt>
                <c:pt idx="382">
                  <c:v>0.82539062192375234</c:v>
                </c:pt>
                <c:pt idx="383">
                  <c:v>0.82598491405948093</c:v>
                </c:pt>
                <c:pt idx="384">
                  <c:v>0.82657775697111513</c:v>
                </c:pt>
                <c:pt idx="385">
                  <c:v>0.82716912130697073</c:v>
                </c:pt>
                <c:pt idx="386">
                  <c:v>0.82775894791166116</c:v>
                </c:pt>
                <c:pt idx="387">
                  <c:v>0.82834725213505822</c:v>
                </c:pt>
                <c:pt idx="388">
                  <c:v>0.82893406422972515</c:v>
                </c:pt>
                <c:pt idx="389">
                  <c:v>0.82951936974300489</c:v>
                </c:pt>
                <c:pt idx="390">
                  <c:v>0.83010316266812967</c:v>
                </c:pt>
                <c:pt idx="391">
                  <c:v>0.83068546600897253</c:v>
                </c:pt>
                <c:pt idx="392">
                  <c:v>0.83126626512804336</c:v>
                </c:pt>
                <c:pt idx="393">
                  <c:v>0.83184550188171702</c:v>
                </c:pt>
                <c:pt idx="394">
                  <c:v>0.8324232969376103</c:v>
                </c:pt>
                <c:pt idx="395">
                  <c:v>0.83299959215277142</c:v>
                </c:pt>
                <c:pt idx="396">
                  <c:v>0.83357438898751657</c:v>
                </c:pt>
                <c:pt idx="397">
                  <c:v>0.83414767400045531</c:v>
                </c:pt>
                <c:pt idx="398">
                  <c:v>0.83471947845520644</c:v>
                </c:pt>
                <c:pt idx="399">
                  <c:v>0.83528977400901261</c:v>
                </c:pt>
                <c:pt idx="400">
                  <c:v>0.83585855869055226</c:v>
                </c:pt>
                <c:pt idx="401">
                  <c:v>0.83642589498309572</c:v>
                </c:pt>
                <c:pt idx="402">
                  <c:v>0.83699174126473275</c:v>
                </c:pt>
                <c:pt idx="403">
                  <c:v>0.83755603899899356</c:v>
                </c:pt>
                <c:pt idx="404">
                  <c:v>0.83811890846067638</c:v>
                </c:pt>
                <c:pt idx="405">
                  <c:v>0.83868026131165563</c:v>
                </c:pt>
                <c:pt idx="406">
                  <c:v>0.83924015822405496</c:v>
                </c:pt>
                <c:pt idx="407">
                  <c:v>0.83979854066016757</c:v>
                </c:pt>
                <c:pt idx="408">
                  <c:v>0.84035545439192627</c:v>
                </c:pt>
                <c:pt idx="409">
                  <c:v>0.84091087813432364</c:v>
                </c:pt>
                <c:pt idx="410">
                  <c:v>0.84146482241070342</c:v>
                </c:pt>
                <c:pt idx="411">
                  <c:v>0.84201728938509079</c:v>
                </c:pt>
                <c:pt idx="412">
                  <c:v>0.84256827763186082</c:v>
                </c:pt>
                <c:pt idx="413">
                  <c:v>0.84311772922250727</c:v>
                </c:pt>
                <c:pt idx="414">
                  <c:v>0.84366582464445561</c:v>
                </c:pt>
                <c:pt idx="415">
                  <c:v>0.84421235695824925</c:v>
                </c:pt>
                <c:pt idx="416">
                  <c:v>0.84475747685094715</c:v>
                </c:pt>
                <c:pt idx="417">
                  <c:v>0.84530106678816552</c:v>
                </c:pt>
                <c:pt idx="418">
                  <c:v>0.8458432327544525</c:v>
                </c:pt>
                <c:pt idx="419">
                  <c:v>0.84638390936928631</c:v>
                </c:pt>
                <c:pt idx="420">
                  <c:v>0.84692309801203958</c:v>
                </c:pt>
                <c:pt idx="421">
                  <c:v>0.84746086940366883</c:v>
                </c:pt>
                <c:pt idx="422">
                  <c:v>0.84799717858233281</c:v>
                </c:pt>
                <c:pt idx="423">
                  <c:v>0.84853196737917547</c:v>
                </c:pt>
                <c:pt idx="424">
                  <c:v>0.84906535643665804</c:v>
                </c:pt>
                <c:pt idx="425">
                  <c:v>0.84959728758657871</c:v>
                </c:pt>
                <c:pt idx="426">
                  <c:v>0.85012773246172035</c:v>
                </c:pt>
                <c:pt idx="427">
                  <c:v>0.85065672229898026</c:v>
                </c:pt>
                <c:pt idx="428">
                  <c:v>0.85118428833673843</c:v>
                </c:pt>
                <c:pt idx="429">
                  <c:v>0.85171037240472502</c:v>
                </c:pt>
                <c:pt idx="430">
                  <c:v>0.85223500193951784</c:v>
                </c:pt>
                <c:pt idx="431">
                  <c:v>0.85275822435718096</c:v>
                </c:pt>
                <c:pt idx="432">
                  <c:v>0.85327999919283437</c:v>
                </c:pt>
                <c:pt idx="433">
                  <c:v>0.85380020895235498</c:v>
                </c:pt>
                <c:pt idx="434">
                  <c:v>0.85431909376689608</c:v>
                </c:pt>
                <c:pt idx="435">
                  <c:v>0.85483653614298194</c:v>
                </c:pt>
                <c:pt idx="436">
                  <c:v>0.85535250799277984</c:v>
                </c:pt>
                <c:pt idx="437">
                  <c:v>0.85586704083257581</c:v>
                </c:pt>
                <c:pt idx="438">
                  <c:v>0.85638013637780197</c:v>
                </c:pt>
                <c:pt idx="439">
                  <c:v>0.85689180379280527</c:v>
                </c:pt>
                <c:pt idx="440">
                  <c:v>0.85740205347489462</c:v>
                </c:pt>
                <c:pt idx="441">
                  <c:v>0.8579108062351074</c:v>
                </c:pt>
                <c:pt idx="442">
                  <c:v>0.8584181884304769</c:v>
                </c:pt>
                <c:pt idx="443">
                  <c:v>0.85892408283398469</c:v>
                </c:pt>
                <c:pt idx="444">
                  <c:v>0.85942861063463016</c:v>
                </c:pt>
                <c:pt idx="445">
                  <c:v>0.85993171421068049</c:v>
                </c:pt>
                <c:pt idx="446">
                  <c:v>0.86043339554373766</c:v>
                </c:pt>
                <c:pt idx="447">
                  <c:v>0.86093362681256269</c:v>
                </c:pt>
                <c:pt idx="448">
                  <c:v>0.86143246960433451</c:v>
                </c:pt>
                <c:pt idx="449">
                  <c:v>0.86192987374587682</c:v>
                </c:pt>
                <c:pt idx="450">
                  <c:v>0.86242588445784063</c:v>
                </c:pt>
                <c:pt idx="451">
                  <c:v>0.8629204422883815</c:v>
                </c:pt>
                <c:pt idx="452">
                  <c:v>0.86341364910583918</c:v>
                </c:pt>
                <c:pt idx="453">
                  <c:v>0.86390538741841782</c:v>
                </c:pt>
                <c:pt idx="454">
                  <c:v>0.86439571854572994</c:v>
                </c:pt>
                <c:pt idx="455">
                  <c:v>0.86488470381054505</c:v>
                </c:pt>
                <c:pt idx="456">
                  <c:v>0.86537225552273001</c:v>
                </c:pt>
                <c:pt idx="457">
                  <c:v>0.86585837539860666</c:v>
                </c:pt>
                <c:pt idx="458">
                  <c:v>0.86634313966173393</c:v>
                </c:pt>
                <c:pt idx="459">
                  <c:v>0.86682648297301534</c:v>
                </c:pt>
                <c:pt idx="460">
                  <c:v>0.86730842532485997</c:v>
                </c:pt>
                <c:pt idx="461">
                  <c:v>0.86778900918401314</c:v>
                </c:pt>
                <c:pt idx="462">
                  <c:v>0.86826820028924601</c:v>
                </c:pt>
                <c:pt idx="463">
                  <c:v>0.86874588184372725</c:v>
                </c:pt>
                <c:pt idx="464">
                  <c:v>0.86922229467599899</c:v>
                </c:pt>
                <c:pt idx="465">
                  <c:v>0.86969729218753133</c:v>
                </c:pt>
                <c:pt idx="466">
                  <c:v>0.87017093639477561</c:v>
                </c:pt>
                <c:pt idx="467">
                  <c:v>0.87064314030206558</c:v>
                </c:pt>
                <c:pt idx="468">
                  <c:v>0.87111401063024374</c:v>
                </c:pt>
                <c:pt idx="469">
                  <c:v>0.87158349018577597</c:v>
                </c:pt>
                <c:pt idx="470">
                  <c:v>0.87205158194621302</c:v>
                </c:pt>
                <c:pt idx="471">
                  <c:v>0.8725183292618981</c:v>
                </c:pt>
                <c:pt idx="472">
                  <c:v>0.87298370730982899</c:v>
                </c:pt>
                <c:pt idx="473">
                  <c:v>0.87344765826541448</c:v>
                </c:pt>
                <c:pt idx="474">
                  <c:v>0.87391030311554652</c:v>
                </c:pt>
                <c:pt idx="475">
                  <c:v>0.87437161383856921</c:v>
                </c:pt>
                <c:pt idx="476">
                  <c:v>0.87483153260925095</c:v>
                </c:pt>
                <c:pt idx="477">
                  <c:v>0.87529006120650887</c:v>
                </c:pt>
                <c:pt idx="478">
                  <c:v>0.87574724611413179</c:v>
                </c:pt>
                <c:pt idx="479">
                  <c:v>0.87620307420968779</c:v>
                </c:pt>
                <c:pt idx="480">
                  <c:v>0.87665753731058305</c:v>
                </c:pt>
                <c:pt idx="481">
                  <c:v>0.87711067954764432</c:v>
                </c:pt>
                <c:pt idx="482">
                  <c:v>0.87756247108294283</c:v>
                </c:pt>
                <c:pt idx="483">
                  <c:v>0.87801285486324043</c:v>
                </c:pt>
                <c:pt idx="484">
                  <c:v>0.87846195264681359</c:v>
                </c:pt>
                <c:pt idx="485">
                  <c:v>0.87890967757870708</c:v>
                </c:pt>
                <c:pt idx="486">
                  <c:v>0.87935609181434016</c:v>
                </c:pt>
                <c:pt idx="487">
                  <c:v>0.87980113829935258</c:v>
                </c:pt>
                <c:pt idx="488">
                  <c:v>0.88024486428888316</c:v>
                </c:pt>
                <c:pt idx="489">
                  <c:v>0.88068724998128967</c:v>
                </c:pt>
                <c:pt idx="490">
                  <c:v>0.88112830111208307</c:v>
                </c:pt>
                <c:pt idx="491">
                  <c:v>0.88156805643480129</c:v>
                </c:pt>
                <c:pt idx="492">
                  <c:v>0.88200648613788224</c:v>
                </c:pt>
                <c:pt idx="493">
                  <c:v>0.88244353274197007</c:v>
                </c:pt>
                <c:pt idx="494">
                  <c:v>0.88287925797462485</c:v>
                </c:pt>
                <c:pt idx="495">
                  <c:v>0.8833137235663745</c:v>
                </c:pt>
                <c:pt idx="496">
                  <c:v>0.88374687203724311</c:v>
                </c:pt>
                <c:pt idx="497">
                  <c:v>0.88417864590677431</c:v>
                </c:pt>
                <c:pt idx="498">
                  <c:v>0.88460916650979082</c:v>
                </c:pt>
                <c:pt idx="499">
                  <c:v>0.88503834656333213</c:v>
                </c:pt>
                <c:pt idx="500">
                  <c:v>0.88546621799468994</c:v>
                </c:pt>
                <c:pt idx="501">
                  <c:v>0.885892801278235</c:v>
                </c:pt>
                <c:pt idx="502">
                  <c:v>0.88631808052367733</c:v>
                </c:pt>
                <c:pt idx="503">
                  <c:v>0.88674199858602298</c:v>
                </c:pt>
                <c:pt idx="504">
                  <c:v>0.88716467713187608</c:v>
                </c:pt>
                <c:pt idx="505">
                  <c:v>0.8875860590168263</c:v>
                </c:pt>
                <c:pt idx="506">
                  <c:v>0.88800614669991418</c:v>
                </c:pt>
                <c:pt idx="507">
                  <c:v>0.88842491283738445</c:v>
                </c:pt>
                <c:pt idx="508">
                  <c:v>0.88884240459261121</c:v>
                </c:pt>
                <c:pt idx="509">
                  <c:v>0.88925861697340236</c:v>
                </c:pt>
                <c:pt idx="510">
                  <c:v>0.88967354900092332</c:v>
                </c:pt>
                <c:pt idx="511">
                  <c:v>0.89008718505999485</c:v>
                </c:pt>
                <c:pt idx="512">
                  <c:v>0.89049954155680588</c:v>
                </c:pt>
                <c:pt idx="513">
                  <c:v>0.89091062083597128</c:v>
                </c:pt>
                <c:pt idx="514">
                  <c:v>0.89132042523981392</c:v>
                </c:pt>
                <c:pt idx="515">
                  <c:v>0.8917289571135214</c:v>
                </c:pt>
                <c:pt idx="516">
                  <c:v>0.89213624860343255</c:v>
                </c:pt>
                <c:pt idx="517">
                  <c:v>0.89254221264613176</c:v>
                </c:pt>
                <c:pt idx="518">
                  <c:v>0.89294697079575902</c:v>
                </c:pt>
                <c:pt idx="519">
                  <c:v>0.89335043598872366</c:v>
                </c:pt>
                <c:pt idx="520">
                  <c:v>0.89375261834961117</c:v>
                </c:pt>
                <c:pt idx="521">
                  <c:v>0.89415360043869008</c:v>
                </c:pt>
                <c:pt idx="522">
                  <c:v>0.89455332653188191</c:v>
                </c:pt>
                <c:pt idx="523">
                  <c:v>0.89495167989025592</c:v>
                </c:pt>
                <c:pt idx="524">
                  <c:v>0.89534890140049972</c:v>
                </c:pt>
                <c:pt idx="525">
                  <c:v>0.89574484452192271</c:v>
                </c:pt>
                <c:pt idx="526">
                  <c:v>0.89613957132894062</c:v>
                </c:pt>
                <c:pt idx="527">
                  <c:v>0.89653299488390148</c:v>
                </c:pt>
                <c:pt idx="528">
                  <c:v>0.89692522196552338</c:v>
                </c:pt>
                <c:pt idx="529">
                  <c:v>0.89731618798772406</c:v>
                </c:pt>
                <c:pt idx="530">
                  <c:v>0.89770592906742297</c:v>
                </c:pt>
                <c:pt idx="531">
                  <c:v>0.89809443431323877</c:v>
                </c:pt>
                <c:pt idx="532">
                  <c:v>0.89848170845377762</c:v>
                </c:pt>
                <c:pt idx="533">
                  <c:v>0.8988676945471904</c:v>
                </c:pt>
                <c:pt idx="534">
                  <c:v>0.89925251446335674</c:v>
                </c:pt>
                <c:pt idx="535">
                  <c:v>0.89963614106330136</c:v>
                </c:pt>
                <c:pt idx="536">
                  <c:v>0.90001851740459904</c:v>
                </c:pt>
                <c:pt idx="537">
                  <c:v>0.90039967595134496</c:v>
                </c:pt>
                <c:pt idx="538">
                  <c:v>0.90077961936656137</c:v>
                </c:pt>
                <c:pt idx="539">
                  <c:v>0.90115834286127172</c:v>
                </c:pt>
                <c:pt idx="540">
                  <c:v>0.90153583341771037</c:v>
                </c:pt>
                <c:pt idx="541">
                  <c:v>0.90191218214675828</c:v>
                </c:pt>
                <c:pt idx="542">
                  <c:v>0.90228732626395824</c:v>
                </c:pt>
                <c:pt idx="543">
                  <c:v>0.90266114909359796</c:v>
                </c:pt>
                <c:pt idx="544">
                  <c:v>0.90303389158567549</c:v>
                </c:pt>
                <c:pt idx="545">
                  <c:v>0.90340537746037297</c:v>
                </c:pt>
                <c:pt idx="546">
                  <c:v>0.90377572845999388</c:v>
                </c:pt>
                <c:pt idx="547">
                  <c:v>0.90414482790782436</c:v>
                </c:pt>
                <c:pt idx="548">
                  <c:v>0.90451276774463074</c:v>
                </c:pt>
                <c:pt idx="549">
                  <c:v>0.90487950579934051</c:v>
                </c:pt>
                <c:pt idx="550">
                  <c:v>0.90524505508468944</c:v>
                </c:pt>
                <c:pt idx="551">
                  <c:v>0.90560947201943554</c:v>
                </c:pt>
                <c:pt idx="552">
                  <c:v>0.90597264997956084</c:v>
                </c:pt>
                <c:pt idx="553">
                  <c:v>0.90633465101458455</c:v>
                </c:pt>
                <c:pt idx="554">
                  <c:v>0.90669547756726798</c:v>
                </c:pt>
                <c:pt idx="555">
                  <c:v>0.90705519168765891</c:v>
                </c:pt>
                <c:pt idx="556">
                  <c:v>0.90741370641311259</c:v>
                </c:pt>
                <c:pt idx="557">
                  <c:v>0.90777102418752331</c:v>
                </c:pt>
                <c:pt idx="558">
                  <c:v>0.90812720706062755</c:v>
                </c:pt>
                <c:pt idx="559">
                  <c:v>0.9084822202232552</c:v>
                </c:pt>
                <c:pt idx="560">
                  <c:v>0.90883608761557533</c:v>
                </c:pt>
                <c:pt idx="561">
                  <c:v>0.90918874374546366</c:v>
                </c:pt>
                <c:pt idx="562">
                  <c:v>0.90954030481919168</c:v>
                </c:pt>
                <c:pt idx="563">
                  <c:v>0.90989065433786109</c:v>
                </c:pt>
                <c:pt idx="564">
                  <c:v>0.91023991421908279</c:v>
                </c:pt>
                <c:pt idx="565">
                  <c:v>0.9105880275691205</c:v>
                </c:pt>
                <c:pt idx="566">
                  <c:v>0.91093496729550227</c:v>
                </c:pt>
                <c:pt idx="567">
                  <c:v>0.91128076590998164</c:v>
                </c:pt>
                <c:pt idx="568">
                  <c:v>0.9116254559254845</c:v>
                </c:pt>
                <c:pt idx="569">
                  <c:v>0.91196898044663921</c:v>
                </c:pt>
                <c:pt idx="570">
                  <c:v>0.91231137447161648</c:v>
                </c:pt>
                <c:pt idx="571">
                  <c:v>0.9126526419881309</c:v>
                </c:pt>
                <c:pt idx="572">
                  <c:v>0.91299278168456932</c:v>
                </c:pt>
                <c:pt idx="573">
                  <c:v>0.91333179601312731</c:v>
                </c:pt>
                <c:pt idx="574">
                  <c:v>0.91366968742397947</c:v>
                </c:pt>
                <c:pt idx="575">
                  <c:v>0.91400648817214902</c:v>
                </c:pt>
                <c:pt idx="576">
                  <c:v>0.91434214110465895</c:v>
                </c:pt>
                <c:pt idx="577">
                  <c:v>0.91467664867275711</c:v>
                </c:pt>
                <c:pt idx="578">
                  <c:v>0.91501010273583427</c:v>
                </c:pt>
                <c:pt idx="579">
                  <c:v>0.91534241633801683</c:v>
                </c:pt>
                <c:pt idx="580">
                  <c:v>0.91567359754257405</c:v>
                </c:pt>
                <c:pt idx="581">
                  <c:v>0.91600375121561395</c:v>
                </c:pt>
                <c:pt idx="582">
                  <c:v>0.91633274239069273</c:v>
                </c:pt>
                <c:pt idx="583">
                  <c:v>0.91666057392967049</c:v>
                </c:pt>
                <c:pt idx="584">
                  <c:v>0.91698742750636419</c:v>
                </c:pt>
                <c:pt idx="585">
                  <c:v>0.917313127169194</c:v>
                </c:pt>
                <c:pt idx="586">
                  <c:v>0.91763776518647078</c:v>
                </c:pt>
                <c:pt idx="587">
                  <c:v>0.9179612550121703</c:v>
                </c:pt>
                <c:pt idx="588">
                  <c:v>0.91828371871764503</c:v>
                </c:pt>
                <c:pt idx="589">
                  <c:v>0.91860507720730067</c:v>
                </c:pt>
                <c:pt idx="590">
                  <c:v>0.91892537910928251</c:v>
                </c:pt>
                <c:pt idx="591">
                  <c:v>0.91924459176810314</c:v>
                </c:pt>
                <c:pt idx="592">
                  <c:v>0.91956272972922271</c:v>
                </c:pt>
                <c:pt idx="593">
                  <c:v>0.91987973583164295</c:v>
                </c:pt>
                <c:pt idx="594">
                  <c:v>0.9201957317263737</c:v>
                </c:pt>
                <c:pt idx="595">
                  <c:v>0.92051063045057613</c:v>
                </c:pt>
                <c:pt idx="596">
                  <c:v>0.92082449405203837</c:v>
                </c:pt>
                <c:pt idx="597">
                  <c:v>0.92113726536886897</c:v>
                </c:pt>
                <c:pt idx="598">
                  <c:v>0.92144902135071827</c:v>
                </c:pt>
                <c:pt idx="599">
                  <c:v>0.92175968993438606</c:v>
                </c:pt>
                <c:pt idx="600">
                  <c:v>0.92206931075787779</c:v>
                </c:pt>
                <c:pt idx="601">
                  <c:v>0.92237788010547217</c:v>
                </c:pt>
                <c:pt idx="602">
                  <c:v>0.92268539935502725</c:v>
                </c:pt>
                <c:pt idx="603">
                  <c:v>0.92299181151338405</c:v>
                </c:pt>
                <c:pt idx="604">
                  <c:v>0.92329723839943489</c:v>
                </c:pt>
                <c:pt idx="605">
                  <c:v>0.92360165282281392</c:v>
                </c:pt>
                <c:pt idx="606">
                  <c:v>0.92390499778987012</c:v>
                </c:pt>
                <c:pt idx="607">
                  <c:v>0.92420730571353826</c:v>
                </c:pt>
                <c:pt idx="608">
                  <c:v>0.92450856430433603</c:v>
                </c:pt>
                <c:pt idx="609">
                  <c:v>0.92480880597505433</c:v>
                </c:pt>
                <c:pt idx="610">
                  <c:v>0.92510799918769704</c:v>
                </c:pt>
                <c:pt idx="611">
                  <c:v>0.92540619132024249</c:v>
                </c:pt>
                <c:pt idx="612">
                  <c:v>0.92570335958803474</c:v>
                </c:pt>
                <c:pt idx="613">
                  <c:v>0.92599944712087945</c:v>
                </c:pt>
                <c:pt idx="614">
                  <c:v>0.92629457586068109</c:v>
                </c:pt>
                <c:pt idx="615">
                  <c:v>0.92658871874002724</c:v>
                </c:pt>
                <c:pt idx="616">
                  <c:v>0.92688181888824395</c:v>
                </c:pt>
                <c:pt idx="617">
                  <c:v>0.92717387903893078</c:v>
                </c:pt>
                <c:pt idx="618">
                  <c:v>0.92746494663021029</c:v>
                </c:pt>
                <c:pt idx="619">
                  <c:v>0.9277550169449611</c:v>
                </c:pt>
                <c:pt idx="620">
                  <c:v>0.92804405406445689</c:v>
                </c:pt>
                <c:pt idx="621">
                  <c:v>0.92833218447026711</c:v>
                </c:pt>
                <c:pt idx="622">
                  <c:v>0.92861925855902405</c:v>
                </c:pt>
                <c:pt idx="623">
                  <c:v>0.92890527887743579</c:v>
                </c:pt>
                <c:pt idx="624">
                  <c:v>0.92919036717971304</c:v>
                </c:pt>
                <c:pt idx="625">
                  <c:v>0.92947446640836529</c:v>
                </c:pt>
                <c:pt idx="626">
                  <c:v>0.92975757910963419</c:v>
                </c:pt>
                <c:pt idx="627">
                  <c:v>0.93003967802707643</c:v>
                </c:pt>
                <c:pt idx="628">
                  <c:v>0.93032084021338934</c:v>
                </c:pt>
                <c:pt idx="629">
                  <c:v>0.93060100860967077</c:v>
                </c:pt>
                <c:pt idx="630">
                  <c:v>0.93088021691707346</c:v>
                </c:pt>
                <c:pt idx="631">
                  <c:v>0.93115838774630888</c:v>
                </c:pt>
                <c:pt idx="632">
                  <c:v>0.93143564684320135</c:v>
                </c:pt>
                <c:pt idx="633">
                  <c:v>0.93171187745781336</c:v>
                </c:pt>
                <c:pt idx="634">
                  <c:v>0.93198720125704559</c:v>
                </c:pt>
                <c:pt idx="635">
                  <c:v>0.93226156109604064</c:v>
                </c:pt>
                <c:pt idx="636">
                  <c:v>0.93253495943369591</c:v>
                </c:pt>
                <c:pt idx="637">
                  <c:v>0.93280736892623395</c:v>
                </c:pt>
                <c:pt idx="638">
                  <c:v>0.93307883673666892</c:v>
                </c:pt>
                <c:pt idx="639">
                  <c:v>0.93334935042225153</c:v>
                </c:pt>
                <c:pt idx="640">
                  <c:v>0.93361893126102591</c:v>
                </c:pt>
                <c:pt idx="641">
                  <c:v>0.93388754734486834</c:v>
                </c:pt>
                <c:pt idx="642">
                  <c:v>0.93415521686050806</c:v>
                </c:pt>
                <c:pt idx="643">
                  <c:v>0.93442188284210559</c:v>
                </c:pt>
                <c:pt idx="644">
                  <c:v>0.93468766713605855</c:v>
                </c:pt>
                <c:pt idx="645">
                  <c:v>0.93495251277695179</c:v>
                </c:pt>
                <c:pt idx="646">
                  <c:v>0.93521642240314773</c:v>
                </c:pt>
                <c:pt idx="647">
                  <c:v>0.93547939865266438</c:v>
                </c:pt>
                <c:pt idx="648">
                  <c:v>0.93574144416448146</c:v>
                </c:pt>
                <c:pt idx="649">
                  <c:v>0.93600254667532623</c:v>
                </c:pt>
                <c:pt idx="650">
                  <c:v>0.93626275981732698</c:v>
                </c:pt>
                <c:pt idx="651">
                  <c:v>0.9365219837430736</c:v>
                </c:pt>
                <c:pt idx="652">
                  <c:v>0.93678034708429136</c:v>
                </c:pt>
                <c:pt idx="653">
                  <c:v>0.93703773326555739</c:v>
                </c:pt>
                <c:pt idx="654">
                  <c:v>0.93729426412837813</c:v>
                </c:pt>
                <c:pt idx="655">
                  <c:v>0.93754988270238815</c:v>
                </c:pt>
                <c:pt idx="656">
                  <c:v>0.93780456181870098</c:v>
                </c:pt>
                <c:pt idx="657">
                  <c:v>0.93805833391274074</c:v>
                </c:pt>
                <c:pt idx="658">
                  <c:v>0.93831123142086592</c:v>
                </c:pt>
                <c:pt idx="659">
                  <c:v>0.93856320482198796</c:v>
                </c:pt>
                <c:pt idx="660">
                  <c:v>0.93881425749396885</c:v>
                </c:pt>
                <c:pt idx="661">
                  <c:v>0.93906446753017692</c:v>
                </c:pt>
                <c:pt idx="662">
                  <c:v>0.93931378346667471</c:v>
                </c:pt>
                <c:pt idx="663">
                  <c:v>0.93956208848280043</c:v>
                </c:pt>
                <c:pt idx="664">
                  <c:v>0.93980962338415786</c:v>
                </c:pt>
                <c:pt idx="665">
                  <c:v>0.94005627135048564</c:v>
                </c:pt>
                <c:pt idx="666">
                  <c:v>0.9403020049676708</c:v>
                </c:pt>
                <c:pt idx="667">
                  <c:v>0.94054682662359745</c:v>
                </c:pt>
                <c:pt idx="668">
                  <c:v>0.94079082811402481</c:v>
                </c:pt>
                <c:pt idx="669">
                  <c:v>0.94103391496916722</c:v>
                </c:pt>
                <c:pt idx="670">
                  <c:v>0.9412761078205174</c:v>
                </c:pt>
                <c:pt idx="671">
                  <c:v>0.9415175024444804</c:v>
                </c:pt>
                <c:pt idx="672">
                  <c:v>0.94175796724167948</c:v>
                </c:pt>
                <c:pt idx="673">
                  <c:v>0.94199756420056069</c:v>
                </c:pt>
                <c:pt idx="674">
                  <c:v>0.94223629570336487</c:v>
                </c:pt>
                <c:pt idx="675">
                  <c:v>0.94247419393660614</c:v>
                </c:pt>
                <c:pt idx="676">
                  <c:v>0.94271120167903333</c:v>
                </c:pt>
                <c:pt idx="677">
                  <c:v>0.94294735111604666</c:v>
                </c:pt>
                <c:pt idx="678">
                  <c:v>0.94318267443392978</c:v>
                </c:pt>
                <c:pt idx="679">
                  <c:v>0.94341712186157745</c:v>
                </c:pt>
                <c:pt idx="680">
                  <c:v>0.94365070153472053</c:v>
                </c:pt>
                <c:pt idx="681">
                  <c:v>0.94388349551593376</c:v>
                </c:pt>
                <c:pt idx="682">
                  <c:v>0.94411538386204052</c:v>
                </c:pt>
                <c:pt idx="683">
                  <c:v>0.94434642891889009</c:v>
                </c:pt>
                <c:pt idx="684">
                  <c:v>0.94457663342616982</c:v>
                </c:pt>
                <c:pt idx="685">
                  <c:v>0.94480605973010823</c:v>
                </c:pt>
                <c:pt idx="686">
                  <c:v>0.94503462116454684</c:v>
                </c:pt>
                <c:pt idx="687">
                  <c:v>0.94526232046998604</c:v>
                </c:pt>
                <c:pt idx="688">
                  <c:v>0.94548920509127032</c:v>
                </c:pt>
                <c:pt idx="689">
                  <c:v>0.94571526286762309</c:v>
                </c:pt>
                <c:pt idx="690">
                  <c:v>0.94594048218480797</c:v>
                </c:pt>
                <c:pt idx="691">
                  <c:v>0.94616491545481096</c:v>
                </c:pt>
                <c:pt idx="692">
                  <c:v>0.94638852939323992</c:v>
                </c:pt>
                <c:pt idx="693">
                  <c:v>0.94661126642715021</c:v>
                </c:pt>
                <c:pt idx="694">
                  <c:v>0.94683324779606315</c:v>
                </c:pt>
                <c:pt idx="695">
                  <c:v>0.94705438612507853</c:v>
                </c:pt>
                <c:pt idx="696">
                  <c:v>0.94727474305015835</c:v>
                </c:pt>
                <c:pt idx="697">
                  <c:v>0.94749426099767664</c:v>
                </c:pt>
                <c:pt idx="698">
                  <c:v>0.94771298670296789</c:v>
                </c:pt>
                <c:pt idx="699">
                  <c:v>0.94793090729577789</c:v>
                </c:pt>
                <c:pt idx="700">
                  <c:v>0.94814801253801628</c:v>
                </c:pt>
                <c:pt idx="701">
                  <c:v>0.94836432038528717</c:v>
                </c:pt>
                <c:pt idx="702">
                  <c:v>0.94857988951136707</c:v>
                </c:pt>
                <c:pt idx="703">
                  <c:v>0.94879454382628559</c:v>
                </c:pt>
                <c:pt idx="704">
                  <c:v>0.9490084648664987</c:v>
                </c:pt>
                <c:pt idx="705">
                  <c:v>0.94922162555402756</c:v>
                </c:pt>
                <c:pt idx="706">
                  <c:v>0.94943396900780697</c:v>
                </c:pt>
                <c:pt idx="707">
                  <c:v>0.94964552775345934</c:v>
                </c:pt>
                <c:pt idx="708">
                  <c:v>0.94985631941625726</c:v>
                </c:pt>
                <c:pt idx="709">
                  <c:v>0.9500663243676496</c:v>
                </c:pt>
                <c:pt idx="710">
                  <c:v>0.95027555733501901</c:v>
                </c:pt>
                <c:pt idx="711">
                  <c:v>0.95048399844844356</c:v>
                </c:pt>
                <c:pt idx="712">
                  <c:v>0.95069172737588847</c:v>
                </c:pt>
                <c:pt idx="713">
                  <c:v>0.95089856732641487</c:v>
                </c:pt>
                <c:pt idx="714">
                  <c:v>0.95110469913556828</c:v>
                </c:pt>
                <c:pt idx="715">
                  <c:v>0.9513100950243677</c:v>
                </c:pt>
                <c:pt idx="716">
                  <c:v>0.95151472721312458</c:v>
                </c:pt>
                <c:pt idx="717">
                  <c:v>0.95171856792186982</c:v>
                </c:pt>
                <c:pt idx="718">
                  <c:v>0.95192166387722443</c:v>
                </c:pt>
                <c:pt idx="719">
                  <c:v>0.95212400220027482</c:v>
                </c:pt>
                <c:pt idx="720">
                  <c:v>0.95232559393356242</c:v>
                </c:pt>
                <c:pt idx="721">
                  <c:v>0.95252640264572752</c:v>
                </c:pt>
                <c:pt idx="722">
                  <c:v>0.95272651994042945</c:v>
                </c:pt>
                <c:pt idx="723">
                  <c:v>0.95292576956864006</c:v>
                </c:pt>
                <c:pt idx="724">
                  <c:v>0.95312439251249803</c:v>
                </c:pt>
                <c:pt idx="725">
                  <c:v>0.9533222125233124</c:v>
                </c:pt>
                <c:pt idx="726">
                  <c:v>0.95351932157260477</c:v>
                </c:pt>
                <c:pt idx="727">
                  <c:v>0.95371566262001217</c:v>
                </c:pt>
                <c:pt idx="728">
                  <c:v>0.95391129783522444</c:v>
                </c:pt>
                <c:pt idx="729">
                  <c:v>0.95410618507893652</c:v>
                </c:pt>
                <c:pt idx="730">
                  <c:v>0.95430036785279471</c:v>
                </c:pt>
                <c:pt idx="731">
                  <c:v>0.9544937877955042</c:v>
                </c:pt>
                <c:pt idx="732">
                  <c:v>0.95468648174675486</c:v>
                </c:pt>
                <c:pt idx="733">
                  <c:v>0.95487845165626817</c:v>
                </c:pt>
                <c:pt idx="734">
                  <c:v>0.95506969947246378</c:v>
                </c:pt>
                <c:pt idx="735">
                  <c:v>0.95526025694771088</c:v>
                </c:pt>
                <c:pt idx="736">
                  <c:v>0.95545009622906873</c:v>
                </c:pt>
                <c:pt idx="737">
                  <c:v>0.95563915966100998</c:v>
                </c:pt>
                <c:pt idx="738">
                  <c:v>0.95582756840267924</c:v>
                </c:pt>
                <c:pt idx="739">
                  <c:v>0.95601524244670821</c:v>
                </c:pt>
                <c:pt idx="740">
                  <c:v>0.95620218937946189</c:v>
                </c:pt>
                <c:pt idx="741">
                  <c:v>0.95638848508840157</c:v>
                </c:pt>
                <c:pt idx="742">
                  <c:v>0.9565740152583655</c:v>
                </c:pt>
                <c:pt idx="743">
                  <c:v>0.95675884200677319</c:v>
                </c:pt>
                <c:pt idx="744">
                  <c:v>0.95694302744977744</c:v>
                </c:pt>
                <c:pt idx="745">
                  <c:v>0.95712645489117987</c:v>
                </c:pt>
                <c:pt idx="746">
                  <c:v>0.95730921625039178</c:v>
                </c:pt>
                <c:pt idx="747">
                  <c:v>0.95749128423727803</c:v>
                </c:pt>
                <c:pt idx="748">
                  <c:v>0.95767264646358208</c:v>
                </c:pt>
                <c:pt idx="749">
                  <c:v>0.95785332779313626</c:v>
                </c:pt>
                <c:pt idx="750">
                  <c:v>0.95803332328796387</c:v>
                </c:pt>
                <c:pt idx="751">
                  <c:v>0.95821261914916556</c:v>
                </c:pt>
                <c:pt idx="752">
                  <c:v>0.95839129324117456</c:v>
                </c:pt>
                <c:pt idx="753">
                  <c:v>0.95856916869862652</c:v>
                </c:pt>
                <c:pt idx="754">
                  <c:v>0.95874648588744804</c:v>
                </c:pt>
                <c:pt idx="755">
                  <c:v>0.95892309774490236</c:v>
                </c:pt>
                <c:pt idx="756">
                  <c:v>0.95909903602156255</c:v>
                </c:pt>
                <c:pt idx="757">
                  <c:v>0.95927427286310896</c:v>
                </c:pt>
                <c:pt idx="758">
                  <c:v>0.95944885492172038</c:v>
                </c:pt>
                <c:pt idx="759">
                  <c:v>0.95962276924414536</c:v>
                </c:pt>
                <c:pt idx="760">
                  <c:v>0.95979603436098171</c:v>
                </c:pt>
                <c:pt idx="761">
                  <c:v>0.95996862224792801</c:v>
                </c:pt>
                <c:pt idx="762">
                  <c:v>0.96014054850693464</c:v>
                </c:pt>
                <c:pt idx="763">
                  <c:v>0.96031175574506711</c:v>
                </c:pt>
                <c:pt idx="764">
                  <c:v>0.96048236538213771</c:v>
                </c:pt>
                <c:pt idx="765">
                  <c:v>0.96065234982783099</c:v>
                </c:pt>
                <c:pt idx="766">
                  <c:v>0.96082165168890232</c:v>
                </c:pt>
                <c:pt idx="767">
                  <c:v>0.96099030297883348</c:v>
                </c:pt>
                <c:pt idx="768">
                  <c:v>0.96115830590945639</c:v>
                </c:pt>
                <c:pt idx="769">
                  <c:v>0.96132565524125924</c:v>
                </c:pt>
                <c:pt idx="770">
                  <c:v>0.96149234897074198</c:v>
                </c:pt>
                <c:pt idx="771">
                  <c:v>0.9616584202304902</c:v>
                </c:pt>
                <c:pt idx="772">
                  <c:v>0.961823911450438</c:v>
                </c:pt>
                <c:pt idx="773">
                  <c:v>0.96198864589761479</c:v>
                </c:pt>
                <c:pt idx="774">
                  <c:v>0.96215280446577078</c:v>
                </c:pt>
                <c:pt idx="775">
                  <c:v>0.9623163296315117</c:v>
                </c:pt>
                <c:pt idx="776">
                  <c:v>0.96247922347550141</c:v>
                </c:pt>
                <c:pt idx="777">
                  <c:v>0.9626414880781714</c:v>
                </c:pt>
                <c:pt idx="778">
                  <c:v>0.96280312552060288</c:v>
                </c:pt>
                <c:pt idx="779">
                  <c:v>0.96296413043255902</c:v>
                </c:pt>
                <c:pt idx="780">
                  <c:v>0.96312453189980107</c:v>
                </c:pt>
                <c:pt idx="781">
                  <c:v>0.96328428073314398</c:v>
                </c:pt>
                <c:pt idx="782">
                  <c:v>0.96344347018062559</c:v>
                </c:pt>
                <c:pt idx="783">
                  <c:v>0.96360192335634454</c:v>
                </c:pt>
                <c:pt idx="784">
                  <c:v>0.96375988060580287</c:v>
                </c:pt>
                <c:pt idx="785">
                  <c:v>0.96391716504337699</c:v>
                </c:pt>
                <c:pt idx="786">
                  <c:v>0.96407386800377748</c:v>
                </c:pt>
                <c:pt idx="787">
                  <c:v>0.96422993180987771</c:v>
                </c:pt>
                <c:pt idx="788">
                  <c:v>0.96438543289563083</c:v>
                </c:pt>
                <c:pt idx="789">
                  <c:v>0.96454029123208362</c:v>
                </c:pt>
                <c:pt idx="790">
                  <c:v>0.96469457242107071</c:v>
                </c:pt>
                <c:pt idx="791">
                  <c:v>0.96484820225824086</c:v>
                </c:pt>
                <c:pt idx="792">
                  <c:v>0.96500129218166231</c:v>
                </c:pt>
                <c:pt idx="793">
                  <c:v>0.96515372510453623</c:v>
                </c:pt>
                <c:pt idx="794">
                  <c:v>0.96530562235756701</c:v>
                </c:pt>
                <c:pt idx="795">
                  <c:v>0.96545689665654744</c:v>
                </c:pt>
                <c:pt idx="796">
                  <c:v>0.96560760972833171</c:v>
                </c:pt>
                <c:pt idx="797">
                  <c:v>0.96575767428794479</c:v>
                </c:pt>
                <c:pt idx="798">
                  <c:v>0.96590719676611603</c:v>
                </c:pt>
                <c:pt idx="799">
                  <c:v>0.96605611968011029</c:v>
                </c:pt>
                <c:pt idx="800">
                  <c:v>0.96620444335232503</c:v>
                </c:pt>
                <c:pt idx="801">
                  <c:v>0.96635224510167084</c:v>
                </c:pt>
                <c:pt idx="802">
                  <c:v>0.96649940851349181</c:v>
                </c:pt>
                <c:pt idx="803">
                  <c:v>0.9666459948781132</c:v>
                </c:pt>
                <c:pt idx="804">
                  <c:v>0.96679206548482211</c:v>
                </c:pt>
                <c:pt idx="805">
                  <c:v>0.96693750281026936</c:v>
                </c:pt>
                <c:pt idx="806">
                  <c:v>0.96708239794683104</c:v>
                </c:pt>
                <c:pt idx="807">
                  <c:v>0.96722669297506181</c:v>
                </c:pt>
                <c:pt idx="808">
                  <c:v>0.96737046408655447</c:v>
                </c:pt>
                <c:pt idx="809">
                  <c:v>0.9675136384606231</c:v>
                </c:pt>
                <c:pt idx="810">
                  <c:v>0.96765626214015754</c:v>
                </c:pt>
                <c:pt idx="811">
                  <c:v>0.96779833475115573</c:v>
                </c:pt>
                <c:pt idx="812">
                  <c:v>0.96793984602065142</c:v>
                </c:pt>
                <c:pt idx="813">
                  <c:v>0.96808067896210837</c:v>
                </c:pt>
                <c:pt idx="814">
                  <c:v>0.96822107421585124</c:v>
                </c:pt>
                <c:pt idx="815">
                  <c:v>0.96836091479559561</c:v>
                </c:pt>
                <c:pt idx="816">
                  <c:v>0.96850020292383165</c:v>
                </c:pt>
                <c:pt idx="817">
                  <c:v>0.96863891102052291</c:v>
                </c:pt>
                <c:pt idx="818">
                  <c:v>0.96877708601200974</c:v>
                </c:pt>
                <c:pt idx="819">
                  <c:v>0.96891470031817861</c:v>
                </c:pt>
                <c:pt idx="820">
                  <c:v>0.96905175715980407</c:v>
                </c:pt>
                <c:pt idx="821">
                  <c:v>0.96918833427544748</c:v>
                </c:pt>
                <c:pt idx="822">
                  <c:v>0.96932431203149227</c:v>
                </c:pt>
                <c:pt idx="823">
                  <c:v>0.96945975161678211</c:v>
                </c:pt>
                <c:pt idx="824">
                  <c:v>0.96959471421919219</c:v>
                </c:pt>
                <c:pt idx="825">
                  <c:v>0.96972908221387333</c:v>
                </c:pt>
                <c:pt idx="826">
                  <c:v>0.96986294659173877</c:v>
                </c:pt>
                <c:pt idx="827">
                  <c:v>0.9699962493318931</c:v>
                </c:pt>
                <c:pt idx="828">
                  <c:v>0.9701290665244402</c:v>
                </c:pt>
                <c:pt idx="829">
                  <c:v>0.97026133269783055</c:v>
                </c:pt>
                <c:pt idx="830">
                  <c:v>0.97039307402638375</c:v>
                </c:pt>
                <c:pt idx="831">
                  <c:v>0.97052428331207063</c:v>
                </c:pt>
                <c:pt idx="832">
                  <c:v>0.9706549689113797</c:v>
                </c:pt>
                <c:pt idx="833">
                  <c:v>0.97078513263741573</c:v>
                </c:pt>
                <c:pt idx="834">
                  <c:v>0.9709147763023761</c:v>
                </c:pt>
                <c:pt idx="835">
                  <c:v>0.9710439017196002</c:v>
                </c:pt>
                <c:pt idx="836">
                  <c:v>0.97117254050428081</c:v>
                </c:pt>
                <c:pt idx="837">
                  <c:v>0.97130060506213023</c:v>
                </c:pt>
                <c:pt idx="838">
                  <c:v>0.97142820151448883</c:v>
                </c:pt>
                <c:pt idx="839">
                  <c:v>0.97155527206931991</c:v>
                </c:pt>
                <c:pt idx="840">
                  <c:v>0.97168182190436425</c:v>
                </c:pt>
                <c:pt idx="841">
                  <c:v>0.97180790483599244</c:v>
                </c:pt>
                <c:pt idx="842">
                  <c:v>0.97193348224719267</c:v>
                </c:pt>
                <c:pt idx="843">
                  <c:v>0.9720584963834904</c:v>
                </c:pt>
                <c:pt idx="844">
                  <c:v>0.97218300869879437</c:v>
                </c:pt>
                <c:pt idx="845">
                  <c:v>0.97230708064814675</c:v>
                </c:pt>
                <c:pt idx="846">
                  <c:v>0.97243065447683674</c:v>
                </c:pt>
                <c:pt idx="847">
                  <c:v>0.97255367242996937</c:v>
                </c:pt>
                <c:pt idx="848">
                  <c:v>0.97267624066593705</c:v>
                </c:pt>
                <c:pt idx="849">
                  <c:v>0.97279830888035612</c:v>
                </c:pt>
                <c:pt idx="850">
                  <c:v>0.97291988340830804</c:v>
                </c:pt>
                <c:pt idx="851">
                  <c:v>0.97304098353807755</c:v>
                </c:pt>
                <c:pt idx="852">
                  <c:v>0.97316159640166999</c:v>
                </c:pt>
                <c:pt idx="853">
                  <c:v>0.97328166399933214</c:v>
                </c:pt>
                <c:pt idx="854">
                  <c:v>0.97340130714437056</c:v>
                </c:pt>
                <c:pt idx="855">
                  <c:v>0.97352043803492838</c:v>
                </c:pt>
                <c:pt idx="856">
                  <c:v>0.97363911788031376</c:v>
                </c:pt>
                <c:pt idx="857">
                  <c:v>0.97375728868036782</c:v>
                </c:pt>
                <c:pt idx="858">
                  <c:v>0.97387501164471657</c:v>
                </c:pt>
                <c:pt idx="859">
                  <c:v>0.97399223622371534</c:v>
                </c:pt>
                <c:pt idx="860">
                  <c:v>0.97410896977167727</c:v>
                </c:pt>
                <c:pt idx="861">
                  <c:v>0.97422526957908051</c:v>
                </c:pt>
                <c:pt idx="862">
                  <c:v>0.97434109826211335</c:v>
                </c:pt>
                <c:pt idx="863">
                  <c:v>0.97445639791601968</c:v>
                </c:pt>
                <c:pt idx="864">
                  <c:v>0.97457128944913218</c:v>
                </c:pt>
                <c:pt idx="865">
                  <c:v>0.97468571495690581</c:v>
                </c:pt>
                <c:pt idx="866">
                  <c:v>0.97479967613900842</c:v>
                </c:pt>
                <c:pt idx="867">
                  <c:v>0.97491314489261416</c:v>
                </c:pt>
                <c:pt idx="868">
                  <c:v>0.97502618252234308</c:v>
                </c:pt>
                <c:pt idx="869">
                  <c:v>0.9751387385735627</c:v>
                </c:pt>
                <c:pt idx="870">
                  <c:v>0.97525085145447554</c:v>
                </c:pt>
                <c:pt idx="871">
                  <c:v>0.97536249871542335</c:v>
                </c:pt>
                <c:pt idx="872">
                  <c:v>0.97547369175939302</c:v>
                </c:pt>
                <c:pt idx="873">
                  <c:v>0.9755844321968139</c:v>
                </c:pt>
                <c:pt idx="874">
                  <c:v>0.97569472163730064</c:v>
                </c:pt>
                <c:pt idx="875">
                  <c:v>0.97580456169148622</c:v>
                </c:pt>
                <c:pt idx="876">
                  <c:v>0.97591395396958736</c:v>
                </c:pt>
                <c:pt idx="877">
                  <c:v>0.97602290008165538</c:v>
                </c:pt>
                <c:pt idx="878">
                  <c:v>0.97613141653936486</c:v>
                </c:pt>
                <c:pt idx="879">
                  <c:v>0.97623947515038223</c:v>
                </c:pt>
                <c:pt idx="880">
                  <c:v>0.97634707804775989</c:v>
                </c:pt>
                <c:pt idx="881">
                  <c:v>0.97645426760800758</c:v>
                </c:pt>
                <c:pt idx="882">
                  <c:v>0.97656101895872971</c:v>
                </c:pt>
                <c:pt idx="883">
                  <c:v>0.97666727401083164</c:v>
                </c:pt>
                <c:pt idx="884">
                  <c:v>0.97677315348836613</c:v>
                </c:pt>
                <c:pt idx="885">
                  <c:v>0.97687862910475698</c:v>
                </c:pt>
                <c:pt idx="886">
                  <c:v>0.97698364277070415</c:v>
                </c:pt>
                <c:pt idx="887">
                  <c:v>0.97708819600139241</c:v>
                </c:pt>
                <c:pt idx="888">
                  <c:v>0.97719234991709691</c:v>
                </c:pt>
                <c:pt idx="889">
                  <c:v>0.97729606132945934</c:v>
                </c:pt>
                <c:pt idx="890">
                  <c:v>0.97739937796267862</c:v>
                </c:pt>
                <c:pt idx="891">
                  <c:v>0.97750221797440595</c:v>
                </c:pt>
                <c:pt idx="892">
                  <c:v>0.97760469464614319</c:v>
                </c:pt>
                <c:pt idx="893">
                  <c:v>0.97770663079079079</c:v>
                </c:pt>
                <c:pt idx="894">
                  <c:v>0.97780826645300201</c:v>
                </c:pt>
                <c:pt idx="895">
                  <c:v>0.97790945424818954</c:v>
                </c:pt>
                <c:pt idx="896">
                  <c:v>0.97801025540763353</c:v>
                </c:pt>
                <c:pt idx="897">
                  <c:v>0.97811058215084878</c:v>
                </c:pt>
                <c:pt idx="898">
                  <c:v>0.97821054041287592</c:v>
                </c:pt>
                <c:pt idx="899">
                  <c:v>0.97831005731433307</c:v>
                </c:pt>
                <c:pt idx="900">
                  <c:v>0.97840918157913659</c:v>
                </c:pt>
                <c:pt idx="901">
                  <c:v>0.9785078901678218</c:v>
                </c:pt>
                <c:pt idx="902">
                  <c:v>0.97860619169417784</c:v>
                </c:pt>
                <c:pt idx="903">
                  <c:v>0.9787040874008397</c:v>
                </c:pt>
                <c:pt idx="904">
                  <c:v>0.97880157852971161</c:v>
                </c:pt>
                <c:pt idx="905">
                  <c:v>0.97889866632361067</c:v>
                </c:pt>
                <c:pt idx="906">
                  <c:v>0.978995352024981</c:v>
                </c:pt>
                <c:pt idx="907">
                  <c:v>0.97909163687611844</c:v>
                </c:pt>
                <c:pt idx="908">
                  <c:v>0.97918752211973237</c:v>
                </c:pt>
                <c:pt idx="909">
                  <c:v>0.97928301644864391</c:v>
                </c:pt>
                <c:pt idx="910">
                  <c:v>0.97937809619722227</c:v>
                </c:pt>
                <c:pt idx="911">
                  <c:v>0.9794728131320517</c:v>
                </c:pt>
                <c:pt idx="912">
                  <c:v>0.97956713588492195</c:v>
                </c:pt>
                <c:pt idx="913">
                  <c:v>0.97966100654961596</c:v>
                </c:pt>
                <c:pt idx="914">
                  <c:v>0.97975448642849838</c:v>
                </c:pt>
                <c:pt idx="915">
                  <c:v>0.9798476666271414</c:v>
                </c:pt>
                <c:pt idx="916">
                  <c:v>0.97994039983217585</c:v>
                </c:pt>
                <c:pt idx="917">
                  <c:v>0.98003274734634627</c:v>
                </c:pt>
                <c:pt idx="918">
                  <c:v>0.98012472576931409</c:v>
                </c:pt>
                <c:pt idx="919">
                  <c:v>0.98021631444738322</c:v>
                </c:pt>
                <c:pt idx="920">
                  <c:v>0.98030749117601357</c:v>
                </c:pt>
                <c:pt idx="921">
                  <c:v>0.98039836060365593</c:v>
                </c:pt>
                <c:pt idx="922">
                  <c:v>0.98048885236114225</c:v>
                </c:pt>
                <c:pt idx="923">
                  <c:v>0.98057884846683052</c:v>
                </c:pt>
                <c:pt idx="924">
                  <c:v>0.98066858856627004</c:v>
                </c:pt>
                <c:pt idx="925">
                  <c:v>0.98075789507334366</c:v>
                </c:pt>
                <c:pt idx="926">
                  <c:v>0.9808468586224891</c:v>
                </c:pt>
                <c:pt idx="927">
                  <c:v>0.98093542083639529</c:v>
                </c:pt>
                <c:pt idx="928">
                  <c:v>0.98102365744858522</c:v>
                </c:pt>
                <c:pt idx="929">
                  <c:v>0.98111149518053475</c:v>
                </c:pt>
                <c:pt idx="930">
                  <c:v>0.98119897932567035</c:v>
                </c:pt>
                <c:pt idx="931">
                  <c:v>0.98128610353635992</c:v>
                </c:pt>
                <c:pt idx="932">
                  <c:v>0.98137286238389043</c:v>
                </c:pt>
                <c:pt idx="933">
                  <c:v>0.98145919752341648</c:v>
                </c:pt>
                <c:pt idx="934">
                  <c:v>0.98154516981872664</c:v>
                </c:pt>
                <c:pt idx="935">
                  <c:v>0.98163086993675053</c:v>
                </c:pt>
                <c:pt idx="936">
                  <c:v>0.98171617992782689</c:v>
                </c:pt>
                <c:pt idx="937">
                  <c:v>0.98180110105145069</c:v>
                </c:pt>
                <c:pt idx="938">
                  <c:v>0.98188567927097192</c:v>
                </c:pt>
                <c:pt idx="939">
                  <c:v>0.98196989349409392</c:v>
                </c:pt>
                <c:pt idx="940">
                  <c:v>0.98205375263490602</c:v>
                </c:pt>
                <c:pt idx="941">
                  <c:v>0.98213728599599015</c:v>
                </c:pt>
                <c:pt idx="942">
                  <c:v>0.98222046693248233</c:v>
                </c:pt>
                <c:pt idx="943">
                  <c:v>0.9823032374416889</c:v>
                </c:pt>
                <c:pt idx="944">
                  <c:v>0.9823856587295734</c:v>
                </c:pt>
                <c:pt idx="945">
                  <c:v>0.98246779200289003</c:v>
                </c:pt>
                <c:pt idx="946">
                  <c:v>0.9825495792587805</c:v>
                </c:pt>
                <c:pt idx="947">
                  <c:v>0.98263099229658035</c:v>
                </c:pt>
                <c:pt idx="948">
                  <c:v>0.98271207742178934</c:v>
                </c:pt>
                <c:pt idx="949">
                  <c:v>0.98279280643369493</c:v>
                </c:pt>
                <c:pt idx="950">
                  <c:v>0.98287318191101825</c:v>
                </c:pt>
                <c:pt idx="951">
                  <c:v>0.98295325114926402</c:v>
                </c:pt>
                <c:pt idx="952">
                  <c:v>0.9830329832953516</c:v>
                </c:pt>
                <c:pt idx="953">
                  <c:v>0.98311231966103718</c:v>
                </c:pt>
                <c:pt idx="954">
                  <c:v>0.98319138037140685</c:v>
                </c:pt>
                <c:pt idx="955">
                  <c:v>0.98327013654069062</c:v>
                </c:pt>
                <c:pt idx="956">
                  <c:v>0.98334852948048712</c:v>
                </c:pt>
                <c:pt idx="957">
                  <c:v>0.98342656010691698</c:v>
                </c:pt>
                <c:pt idx="958">
                  <c:v>0.9835042889410881</c:v>
                </c:pt>
                <c:pt idx="959">
                  <c:v>0.98358167964617227</c:v>
                </c:pt>
                <c:pt idx="960">
                  <c:v>0.98365875716320461</c:v>
                </c:pt>
                <c:pt idx="961">
                  <c:v>0.98373550066502868</c:v>
                </c:pt>
                <c:pt idx="962">
                  <c:v>0.98381191682278857</c:v>
                </c:pt>
                <c:pt idx="963">
                  <c:v>0.98388788792912196</c:v>
                </c:pt>
                <c:pt idx="964">
                  <c:v>0.98396365390394691</c:v>
                </c:pt>
                <c:pt idx="965">
                  <c:v>0.98403912684236994</c:v>
                </c:pt>
                <c:pt idx="966">
                  <c:v>0.98411424864151975</c:v>
                </c:pt>
                <c:pt idx="967">
                  <c:v>0.98418902080305048</c:v>
                </c:pt>
                <c:pt idx="968">
                  <c:v>0.98426348953243337</c:v>
                </c:pt>
                <c:pt idx="969">
                  <c:v>0.98433764143011604</c:v>
                </c:pt>
                <c:pt idx="970">
                  <c:v>0.9844114609263821</c:v>
                </c:pt>
                <c:pt idx="971">
                  <c:v>0.98448498285207742</c:v>
                </c:pt>
                <c:pt idx="972">
                  <c:v>0.98455825155265486</c:v>
                </c:pt>
                <c:pt idx="973">
                  <c:v>0.9846310892125395</c:v>
                </c:pt>
                <c:pt idx="974">
                  <c:v>0.98470367564346351</c:v>
                </c:pt>
                <c:pt idx="975">
                  <c:v>0.98477598204160377</c:v>
                </c:pt>
                <c:pt idx="976">
                  <c:v>0.98484794980052803</c:v>
                </c:pt>
                <c:pt idx="977">
                  <c:v>0.98491960972065762</c:v>
                </c:pt>
                <c:pt idx="978">
                  <c:v>0.9849909628004091</c:v>
                </c:pt>
                <c:pt idx="979">
                  <c:v>0.98506201003783855</c:v>
                </c:pt>
                <c:pt idx="980">
                  <c:v>0.98513278085782596</c:v>
                </c:pt>
                <c:pt idx="981">
                  <c:v>0.98520322548041273</c:v>
                </c:pt>
                <c:pt idx="982">
                  <c:v>0.98527336753000661</c:v>
                </c:pt>
                <c:pt idx="983">
                  <c:v>0.98534314867485717</c:v>
                </c:pt>
                <c:pt idx="984">
                  <c:v>0.98541268939660465</c:v>
                </c:pt>
                <c:pt idx="985">
                  <c:v>0.98548193136363393</c:v>
                </c:pt>
                <c:pt idx="986">
                  <c:v>0.98555090565101988</c:v>
                </c:pt>
                <c:pt idx="987">
                  <c:v>0.9856195241244371</c:v>
                </c:pt>
                <c:pt idx="988">
                  <c:v>0.98568787746380271</c:v>
                </c:pt>
                <c:pt idx="989">
                  <c:v>0.9857559296888142</c:v>
                </c:pt>
                <c:pt idx="990">
                  <c:v>0.98582370376510464</c:v>
                </c:pt>
                <c:pt idx="991">
                  <c:v>0.9858911918832588</c:v>
                </c:pt>
                <c:pt idx="992">
                  <c:v>0.9859583899466019</c:v>
                </c:pt>
                <c:pt idx="993">
                  <c:v>0.98602523941393028</c:v>
                </c:pt>
                <c:pt idx="994">
                  <c:v>0.98609180095280824</c:v>
                </c:pt>
                <c:pt idx="995">
                  <c:v>0.98615816503377418</c:v>
                </c:pt>
                <c:pt idx="996">
                  <c:v>0.98622421351084266</c:v>
                </c:pt>
                <c:pt idx="997">
                  <c:v>0.98628991764489093</c:v>
                </c:pt>
                <c:pt idx="998">
                  <c:v>0.98635541260986359</c:v>
                </c:pt>
                <c:pt idx="999">
                  <c:v>0.98642058771021113</c:v>
                </c:pt>
                <c:pt idx="1000">
                  <c:v>0.98648548126220703</c:v>
                </c:pt>
                <c:pt idx="1001">
                  <c:v>0.98655013459978869</c:v>
                </c:pt>
                <c:pt idx="1002">
                  <c:v>0.98661444875902859</c:v>
                </c:pt>
                <c:pt idx="1003">
                  <c:v>0.98667848425603888</c:v>
                </c:pt>
                <c:pt idx="1004">
                  <c:v>0.98674224200169702</c:v>
                </c:pt>
                <c:pt idx="1005">
                  <c:v>0.98680578251224038</c:v>
                </c:pt>
                <c:pt idx="1006">
                  <c:v>0.98686901729195009</c:v>
                </c:pt>
                <c:pt idx="1007">
                  <c:v>0.98693197705438296</c:v>
                </c:pt>
                <c:pt idx="1008">
                  <c:v>0.98699466271096969</c:v>
                </c:pt>
                <c:pt idx="1009">
                  <c:v>0.98705706772232582</c:v>
                </c:pt>
                <c:pt idx="1010">
                  <c:v>0.98711918615354233</c:v>
                </c:pt>
                <c:pt idx="1011">
                  <c:v>0.98718109682027577</c:v>
                </c:pt>
                <c:pt idx="1012">
                  <c:v>0.98724267788155173</c:v>
                </c:pt>
                <c:pt idx="1013">
                  <c:v>0.9873039307086926</c:v>
                </c:pt>
                <c:pt idx="1014">
                  <c:v>0.98736503548638199</c:v>
                </c:pt>
                <c:pt idx="1015">
                  <c:v>0.98742584457445171</c:v>
                </c:pt>
                <c:pt idx="1016">
                  <c:v>0.98748635934400952</c:v>
                </c:pt>
                <c:pt idx="1017">
                  <c:v>0.98754661096847518</c:v>
                </c:pt>
                <c:pt idx="1018">
                  <c:v>0.98760663062145537</c:v>
                </c:pt>
                <c:pt idx="1019">
                  <c:v>0.98766637497052678</c:v>
                </c:pt>
                <c:pt idx="1020">
                  <c:v>0.98772583164280292</c:v>
                </c:pt>
                <c:pt idx="1021">
                  <c:v>0.98778509203787856</c:v>
                </c:pt>
                <c:pt idx="1022">
                  <c:v>0.98784409552919905</c:v>
                </c:pt>
                <c:pt idx="1023">
                  <c:v>0.98790272366424925</c:v>
                </c:pt>
                <c:pt idx="1024">
                  <c:v>0.98796121561783368</c:v>
                </c:pt>
                <c:pt idx="1025">
                  <c:v>0.98801942313520785</c:v>
                </c:pt>
                <c:pt idx="1026">
                  <c:v>0.9880773767753257</c:v>
                </c:pt>
                <c:pt idx="1027">
                  <c:v>0.98813504749233771</c:v>
                </c:pt>
                <c:pt idx="1028">
                  <c:v>0.98819251054887103</c:v>
                </c:pt>
                <c:pt idx="1029">
                  <c:v>0.98824970709671855</c:v>
                </c:pt>
                <c:pt idx="1030">
                  <c:v>0.98830666935656275</c:v>
                </c:pt>
                <c:pt idx="1031">
                  <c:v>0.9883633590892158</c:v>
                </c:pt>
                <c:pt idx="1032">
                  <c:v>0.98841979969453431</c:v>
                </c:pt>
                <c:pt idx="1033">
                  <c:v>0.98847593253473764</c:v>
                </c:pt>
                <c:pt idx="1034">
                  <c:v>0.98853187778562024</c:v>
                </c:pt>
                <c:pt idx="1035">
                  <c:v>0.98858760661183542</c:v>
                </c:pt>
                <c:pt idx="1036">
                  <c:v>0.98864309017789587</c:v>
                </c:pt>
                <c:pt idx="1037">
                  <c:v>0.98869826984581377</c:v>
                </c:pt>
                <c:pt idx="1038">
                  <c:v>0.98875325089071497</c:v>
                </c:pt>
                <c:pt idx="1039">
                  <c:v>0.98880797467457759</c:v>
                </c:pt>
                <c:pt idx="1040">
                  <c:v>0.98886247408687677</c:v>
                </c:pt>
                <c:pt idx="1041">
                  <c:v>0.98891668632405116</c:v>
                </c:pt>
                <c:pt idx="1042">
                  <c:v>0.98897071883798104</c:v>
                </c:pt>
                <c:pt idx="1043">
                  <c:v>0.98902445351767687</c:v>
                </c:pt>
                <c:pt idx="1044">
                  <c:v>0.9890780106703867</c:v>
                </c:pt>
                <c:pt idx="1045">
                  <c:v>0.98913130198755084</c:v>
                </c:pt>
                <c:pt idx="1046">
                  <c:v>0.98918435836976737</c:v>
                </c:pt>
                <c:pt idx="1047">
                  <c:v>0.98923715111281485</c:v>
                </c:pt>
                <c:pt idx="1048">
                  <c:v>0.98928977072209268</c:v>
                </c:pt>
                <c:pt idx="1049">
                  <c:v>0.98934212143812095</c:v>
                </c:pt>
                <c:pt idx="1050">
                  <c:v>0.98939425904908118</c:v>
                </c:pt>
                <c:pt idx="1051">
                  <c:v>0.98944613933604653</c:v>
                </c:pt>
                <c:pt idx="1052">
                  <c:v>0.98949785050384054</c:v>
                </c:pt>
                <c:pt idx="1053">
                  <c:v>0.98954921445851352</c:v>
                </c:pt>
                <c:pt idx="1054">
                  <c:v>0.98960047033830678</c:v>
                </c:pt>
                <c:pt idx="1055">
                  <c:v>0.98965146985169505</c:v>
                </c:pt>
                <c:pt idx="1056">
                  <c:v>0.98970224352096592</c:v>
                </c:pt>
                <c:pt idx="1057">
                  <c:v>0.98975276226359121</c:v>
                </c:pt>
                <c:pt idx="1058">
                  <c:v>0.9898030864043299</c:v>
                </c:pt>
                <c:pt idx="1059">
                  <c:v>0.98985317195946154</c:v>
                </c:pt>
                <c:pt idx="1060">
                  <c:v>0.98990303739393726</c:v>
                </c:pt>
                <c:pt idx="1061">
                  <c:v>0.98995271074447611</c:v>
                </c:pt>
                <c:pt idx="1062">
                  <c:v>0.99000210324073745</c:v>
                </c:pt>
                <c:pt idx="1063">
                  <c:v>0.99005127548222205</c:v>
                </c:pt>
                <c:pt idx="1064">
                  <c:v>0.990100288068121</c:v>
                </c:pt>
                <c:pt idx="1065">
                  <c:v>0.99014905258642238</c:v>
                </c:pt>
                <c:pt idx="1066">
                  <c:v>0.99019762963661084</c:v>
                </c:pt>
                <c:pt idx="1067">
                  <c:v>0.99024593080639101</c:v>
                </c:pt>
                <c:pt idx="1068">
                  <c:v>0.99029406139887566</c:v>
                </c:pt>
                <c:pt idx="1069">
                  <c:v>0.99034195535348057</c:v>
                </c:pt>
                <c:pt idx="1070">
                  <c:v>0.99038963340255637</c:v>
                </c:pt>
                <c:pt idx="1071">
                  <c:v>0.99043715081884398</c:v>
                </c:pt>
                <c:pt idx="1072">
                  <c:v>0.99048439706895042</c:v>
                </c:pt>
                <c:pt idx="1073">
                  <c:v>0.99053143249241649</c:v>
                </c:pt>
                <c:pt idx="1074">
                  <c:v>0.99057825782384634</c:v>
                </c:pt>
                <c:pt idx="1075">
                  <c:v>0.99062490360055366</c:v>
                </c:pt>
                <c:pt idx="1076">
                  <c:v>0.99067134075510066</c:v>
                </c:pt>
                <c:pt idx="1077">
                  <c:v>0.99071757002220751</c:v>
                </c:pt>
                <c:pt idx="1078">
                  <c:v>0.99076357723573583</c:v>
                </c:pt>
                <c:pt idx="1079">
                  <c:v>0.99080937803153779</c:v>
                </c:pt>
                <c:pt idx="1080">
                  <c:v>0.99085495624638864</c:v>
                </c:pt>
                <c:pt idx="1081">
                  <c:v>0.99090037332803682</c:v>
                </c:pt>
                <c:pt idx="1082">
                  <c:v>0.99094558649879549</c:v>
                </c:pt>
                <c:pt idx="1083">
                  <c:v>0.99099053719108898</c:v>
                </c:pt>
                <c:pt idx="1084">
                  <c:v>0.99103534565099771</c:v>
                </c:pt>
                <c:pt idx="1085">
                  <c:v>0.99107992350871588</c:v>
                </c:pt>
                <c:pt idx="1086">
                  <c:v>0.99112430160362697</c:v>
                </c:pt>
                <c:pt idx="1087">
                  <c:v>0.99116848097263066</c:v>
                </c:pt>
                <c:pt idx="1088">
                  <c:v>0.9912124775540827</c:v>
                </c:pt>
                <c:pt idx="1089">
                  <c:v>0.99125627003311312</c:v>
                </c:pt>
                <c:pt idx="1090">
                  <c:v>0.99129989521475359</c:v>
                </c:pt>
                <c:pt idx="1091">
                  <c:v>0.99134328404007632</c:v>
                </c:pt>
                <c:pt idx="1092">
                  <c:v>0.99138647876922525</c:v>
                </c:pt>
                <c:pt idx="1093">
                  <c:v>0.9914294798837151</c:v>
                </c:pt>
                <c:pt idx="1094">
                  <c:v>0.99147228786480102</c:v>
                </c:pt>
                <c:pt idx="1095">
                  <c:v>0.99151493299640692</c:v>
                </c:pt>
                <c:pt idx="1096">
                  <c:v>0.99155738595772214</c:v>
                </c:pt>
                <c:pt idx="1097">
                  <c:v>0.99159961742777802</c:v>
                </c:pt>
                <c:pt idx="1098">
                  <c:v>0.99164167259169622</c:v>
                </c:pt>
                <c:pt idx="1099">
                  <c:v>0.99168353702964263</c:v>
                </c:pt>
                <c:pt idx="1100">
                  <c:v>0.99172522511024652</c:v>
                </c:pt>
                <c:pt idx="1101">
                  <c:v>0.99176667091984683</c:v>
                </c:pt>
                <c:pt idx="1102">
                  <c:v>0.99180798754217558</c:v>
                </c:pt>
                <c:pt idx="1103">
                  <c:v>0.99184905673897739</c:v>
                </c:pt>
                <c:pt idx="1104">
                  <c:v>0.99188999869032479</c:v>
                </c:pt>
                <c:pt idx="1105">
                  <c:v>0.99193072496036949</c:v>
                </c:pt>
                <c:pt idx="1106">
                  <c:v>0.99197129612478974</c:v>
                </c:pt>
                <c:pt idx="1107">
                  <c:v>0.99201165354981791</c:v>
                </c:pt>
                <c:pt idx="1108">
                  <c:v>0.99205184291009418</c:v>
                </c:pt>
                <c:pt idx="1109">
                  <c:v>0.99209183537414725</c:v>
                </c:pt>
                <c:pt idx="1110">
                  <c:v>0.99213166113395235</c:v>
                </c:pt>
                <c:pt idx="1111">
                  <c:v>0.99217131634648548</c:v>
                </c:pt>
                <c:pt idx="1112">
                  <c:v>0.99221079214742336</c:v>
                </c:pt>
                <c:pt idx="1113">
                  <c:v>0.99225002957350583</c:v>
                </c:pt>
                <c:pt idx="1114">
                  <c:v>0.99228908887052847</c:v>
                </c:pt>
                <c:pt idx="1115">
                  <c:v>0.99232806008692354</c:v>
                </c:pt>
                <c:pt idx="1116">
                  <c:v>0.99236682465478987</c:v>
                </c:pt>
                <c:pt idx="1117">
                  <c:v>0.99240535341304104</c:v>
                </c:pt>
                <c:pt idx="1118">
                  <c:v>0.99244376621247177</c:v>
                </c:pt>
                <c:pt idx="1119">
                  <c:v>0.99248198918848718</c:v>
                </c:pt>
                <c:pt idx="1120">
                  <c:v>0.99252003769848152</c:v>
                </c:pt>
                <c:pt idx="1121">
                  <c:v>0.99255790386944109</c:v>
                </c:pt>
                <c:pt idx="1122">
                  <c:v>0.99259565676074435</c:v>
                </c:pt>
                <c:pt idx="1123">
                  <c:v>0.992633118313624</c:v>
                </c:pt>
                <c:pt idx="1124">
                  <c:v>0.99267046809695958</c:v>
                </c:pt>
                <c:pt idx="1125">
                  <c:v>0.99270767706367324</c:v>
                </c:pt>
                <c:pt idx="1126">
                  <c:v>0.99274471616661697</c:v>
                </c:pt>
                <c:pt idx="1127">
                  <c:v>0.99278152655616936</c:v>
                </c:pt>
                <c:pt idx="1128">
                  <c:v>0.99281822819690702</c:v>
                </c:pt>
                <c:pt idx="1129">
                  <c:v>0.99285473243686251</c:v>
                </c:pt>
                <c:pt idx="1130">
                  <c:v>0.9928910700104967</c:v>
                </c:pt>
                <c:pt idx="1131">
                  <c:v>0.99292727113576507</c:v>
                </c:pt>
                <c:pt idx="1132">
                  <c:v>0.9929633068026118</c:v>
                </c:pt>
                <c:pt idx="1133">
                  <c:v>0.99299905843142822</c:v>
                </c:pt>
                <c:pt idx="1134">
                  <c:v>0.99303476507026622</c:v>
                </c:pt>
                <c:pt idx="1135">
                  <c:v>0.99307030813959118</c:v>
                </c:pt>
                <c:pt idx="1136">
                  <c:v>0.9931056882690954</c:v>
                </c:pt>
                <c:pt idx="1137">
                  <c:v>0.99314084648367706</c:v>
                </c:pt>
                <c:pt idx="1138">
                  <c:v>0.99317590262242572</c:v>
                </c:pt>
                <c:pt idx="1139">
                  <c:v>0.99321077535847557</c:v>
                </c:pt>
                <c:pt idx="1140">
                  <c:v>0.99324547327912327</c:v>
                </c:pt>
                <c:pt idx="1141">
                  <c:v>0.99328002435101825</c:v>
                </c:pt>
                <c:pt idx="1142">
                  <c:v>0.99331447589618493</c:v>
                </c:pt>
                <c:pt idx="1143">
                  <c:v>0.99334864976088066</c:v>
                </c:pt>
                <c:pt idx="1144">
                  <c:v>0.9933827254190335</c:v>
                </c:pt>
                <c:pt idx="1145">
                  <c:v>0.99341664392626217</c:v>
                </c:pt>
                <c:pt idx="1146">
                  <c:v>0.99345043574509373</c:v>
                </c:pt>
                <c:pt idx="1147">
                  <c:v>0.99348401212862048</c:v>
                </c:pt>
                <c:pt idx="1148">
                  <c:v>0.99351747804527968</c:v>
                </c:pt>
                <c:pt idx="1149">
                  <c:v>0.99355077455046359</c:v>
                </c:pt>
                <c:pt idx="1150">
                  <c:v>0.99358390311130695</c:v>
                </c:pt>
                <c:pt idx="1151">
                  <c:v>0.99361694029298075</c:v>
                </c:pt>
                <c:pt idx="1152">
                  <c:v>0.99364976534373228</c:v>
                </c:pt>
                <c:pt idx="1153">
                  <c:v>0.99368237892717859</c:v>
                </c:pt>
                <c:pt idx="1154">
                  <c:v>0.99371496052066377</c:v>
                </c:pt>
                <c:pt idx="1155">
                  <c:v>0.99374736177632828</c:v>
                </c:pt>
                <c:pt idx="1156">
                  <c:v>0.99377958335771777</c:v>
                </c:pt>
                <c:pt idx="1157">
                  <c:v>0.99381165573073338</c:v>
                </c:pt>
                <c:pt idx="1158">
                  <c:v>0.99384360936134297</c:v>
                </c:pt>
                <c:pt idx="1159">
                  <c:v>0.99387540020962084</c:v>
                </c:pt>
                <c:pt idx="1160">
                  <c:v>0.99390701511650592</c:v>
                </c:pt>
                <c:pt idx="1161">
                  <c:v>0.9939385628805617</c:v>
                </c:pt>
                <c:pt idx="1162">
                  <c:v>0.9939699051053783</c:v>
                </c:pt>
                <c:pt idx="1163">
                  <c:v>0.99400104241043297</c:v>
                </c:pt>
                <c:pt idx="1164">
                  <c:v>0.99403215422878777</c:v>
                </c:pt>
                <c:pt idx="1165">
                  <c:v>0.99406306236605135</c:v>
                </c:pt>
                <c:pt idx="1166">
                  <c:v>0.99409382704618943</c:v>
                </c:pt>
                <c:pt idx="1167">
                  <c:v>0.99412444888855811</c:v>
                </c:pt>
                <c:pt idx="1168">
                  <c:v>0.994154943413735</c:v>
                </c:pt>
                <c:pt idx="1169">
                  <c:v>0.99418528888931423</c:v>
                </c:pt>
                <c:pt idx="1170">
                  <c:v>0.99421546490665058</c:v>
                </c:pt>
                <c:pt idx="1171">
                  <c:v>0.99424555139274706</c:v>
                </c:pt>
                <c:pt idx="1172">
                  <c:v>0.99427549795378245</c:v>
                </c:pt>
                <c:pt idx="1173">
                  <c:v>0.99430524542042653</c:v>
                </c:pt>
                <c:pt idx="1174">
                  <c:v>0.99433491343694369</c:v>
                </c:pt>
                <c:pt idx="1175">
                  <c:v>0.99436441303174405</c:v>
                </c:pt>
                <c:pt idx="1176">
                  <c:v>0.99439380424463264</c:v>
                </c:pt>
                <c:pt idx="1177">
                  <c:v>0.99442299810384061</c:v>
                </c:pt>
                <c:pt idx="1178">
                  <c:v>0.99445211425390889</c:v>
                </c:pt>
                <c:pt idx="1179">
                  <c:v>0.99448106372304945</c:v>
                </c:pt>
                <c:pt idx="1180">
                  <c:v>0.99450984842839529</c:v>
                </c:pt>
                <c:pt idx="1181">
                  <c:v>0.99453855593977458</c:v>
                </c:pt>
                <c:pt idx="1182">
                  <c:v>0.99456712828182814</c:v>
                </c:pt>
                <c:pt idx="1183">
                  <c:v>0.99459550668884189</c:v>
                </c:pt>
                <c:pt idx="1184">
                  <c:v>0.99462381120870436</c:v>
                </c:pt>
                <c:pt idx="1185">
                  <c:v>0.99465195327343991</c:v>
                </c:pt>
                <c:pt idx="1186">
                  <c:v>0.99467999332647228</c:v>
                </c:pt>
                <c:pt idx="1187">
                  <c:v>0.99470784279965185</c:v>
                </c:pt>
                <c:pt idx="1188">
                  <c:v>0.9947356068399742</c:v>
                </c:pt>
                <c:pt idx="1189">
                  <c:v>0.99476323413217482</c:v>
                </c:pt>
                <c:pt idx="1190">
                  <c:v>0.9947907014884052</c:v>
                </c:pt>
                <c:pt idx="1191">
                  <c:v>0.99481810033570994</c:v>
                </c:pt>
                <c:pt idx="1192">
                  <c:v>0.99484537174669518</c:v>
                </c:pt>
                <c:pt idx="1193">
                  <c:v>0.99487245630033505</c:v>
                </c:pt>
                <c:pt idx="1194">
                  <c:v>0.99489941378457702</c:v>
                </c:pt>
                <c:pt idx="1195">
                  <c:v>0.99492630398774196</c:v>
                </c:pt>
                <c:pt idx="1196">
                  <c:v>0.99495303768633381</c:v>
                </c:pt>
                <c:pt idx="1197">
                  <c:v>0.9949796448661884</c:v>
                </c:pt>
                <c:pt idx="1198">
                  <c:v>0.99500614061202075</c:v>
                </c:pt>
                <c:pt idx="1199">
                  <c:v>0.99503248785442422</c:v>
                </c:pt>
                <c:pt idx="1200">
                  <c:v>0.99505873765312103</c:v>
                </c:pt>
                <c:pt idx="1201">
                  <c:v>0.99508484670029773</c:v>
                </c:pt>
                <c:pt idx="1202">
                  <c:v>0.99511083087273611</c:v>
                </c:pt>
                <c:pt idx="1203">
                  <c:v>0.9951366314758272</c:v>
                </c:pt>
                <c:pt idx="1204">
                  <c:v>0.99516236862858298</c:v>
                </c:pt>
                <c:pt idx="1205">
                  <c:v>0.99518798363645056</c:v>
                </c:pt>
                <c:pt idx="1206">
                  <c:v>0.99521350721164092</c:v>
                </c:pt>
                <c:pt idx="1207">
                  <c:v>0.99523885085711861</c:v>
                </c:pt>
                <c:pt idx="1208">
                  <c:v>0.99526410488982064</c:v>
                </c:pt>
                <c:pt idx="1209">
                  <c:v>0.99528923296675875</c:v>
                </c:pt>
                <c:pt idx="1210">
                  <c:v>0.99531425737483958</c:v>
                </c:pt>
                <c:pt idx="1211">
                  <c:v>0.99533914063156514</c:v>
                </c:pt>
                <c:pt idx="1212">
                  <c:v>0.9953639669183072</c:v>
                </c:pt>
                <c:pt idx="1213">
                  <c:v>0.99538855753187172</c:v>
                </c:pt>
                <c:pt idx="1214">
                  <c:v>0.99541309139663592</c:v>
                </c:pt>
                <c:pt idx="1215">
                  <c:v>0.99543753882107022</c:v>
                </c:pt>
                <c:pt idx="1216">
                  <c:v>0.99546187011344933</c:v>
                </c:pt>
                <c:pt idx="1217">
                  <c:v>0.99548605558209424</c:v>
                </c:pt>
                <c:pt idx="1218">
                  <c:v>0.99551015494232309</c:v>
                </c:pt>
                <c:pt idx="1219">
                  <c:v>0.99553411615069898</c:v>
                </c:pt>
                <c:pt idx="1220">
                  <c:v>0.99555797587344996</c:v>
                </c:pt>
                <c:pt idx="1221">
                  <c:v>0.99558169253943718</c:v>
                </c:pt>
                <c:pt idx="1222">
                  <c:v>0.99560535402448835</c:v>
                </c:pt>
                <c:pt idx="1223">
                  <c:v>0.99562878230801899</c:v>
                </c:pt>
                <c:pt idx="1224">
                  <c:v>0.99565221660166314</c:v>
                </c:pt>
                <c:pt idx="1225">
                  <c:v>0.99567550868721044</c:v>
                </c:pt>
                <c:pt idx="1226">
                  <c:v>0.99569868916019078</c:v>
                </c:pt>
                <c:pt idx="1227">
                  <c:v>0.99572172901153577</c:v>
                </c:pt>
                <c:pt idx="1228">
                  <c:v>0.99574467373801168</c:v>
                </c:pt>
                <c:pt idx="1229">
                  <c:v>0.99576751668227637</c:v>
                </c:pt>
                <c:pt idx="1230">
                  <c:v>0.99579025074394456</c:v>
                </c:pt>
                <c:pt idx="1231">
                  <c:v>0.99581289691262453</c:v>
                </c:pt>
                <c:pt idx="1232">
                  <c:v>0.99583537612300543</c:v>
                </c:pt>
                <c:pt idx="1233">
                  <c:v>0.99585774827243878</c:v>
                </c:pt>
                <c:pt idx="1234">
                  <c:v>0.99588007325799488</c:v>
                </c:pt>
                <c:pt idx="1235">
                  <c:v>0.99590229176778333</c:v>
                </c:pt>
                <c:pt idx="1236">
                  <c:v>0.99592437429205005</c:v>
                </c:pt>
                <c:pt idx="1237">
                  <c:v>0.99594635092573425</c:v>
                </c:pt>
                <c:pt idx="1238">
                  <c:v>0.99596823686263491</c:v>
                </c:pt>
                <c:pt idx="1239">
                  <c:v>0.99599001004361309</c:v>
                </c:pt>
                <c:pt idx="1240">
                  <c:v>0.9960116780006677</c:v>
                </c:pt>
                <c:pt idx="1241">
                  <c:v>0.99603323406055488</c:v>
                </c:pt>
                <c:pt idx="1242">
                  <c:v>0.99605474554465367</c:v>
                </c:pt>
                <c:pt idx="1243">
                  <c:v>0.99607603417880008</c:v>
                </c:pt>
                <c:pt idx="1244">
                  <c:v>0.99609727931642367</c:v>
                </c:pt>
                <c:pt idx="1245">
                  <c:v>0.99611845169501867</c:v>
                </c:pt>
                <c:pt idx="1246">
                  <c:v>0.99613952205189604</c:v>
                </c:pt>
                <c:pt idx="1247">
                  <c:v>0.99616043132209497</c:v>
                </c:pt>
                <c:pt idx="1248">
                  <c:v>0.99618129925460575</c:v>
                </c:pt>
                <c:pt idx="1249">
                  <c:v>0.99620203698213083</c:v>
                </c:pt>
                <c:pt idx="1250">
                  <c:v>0.99622267484664917</c:v>
                </c:pt>
                <c:pt idx="1251">
                  <c:v>0.99624321338629884</c:v>
                </c:pt>
                <c:pt idx="1252">
                  <c:v>0.99626371261698476</c:v>
                </c:pt>
                <c:pt idx="1253">
                  <c:v>0.99628399413455537</c:v>
                </c:pt>
                <c:pt idx="1254">
                  <c:v>0.99630423716246208</c:v>
                </c:pt>
                <c:pt idx="1255">
                  <c:v>0.99632441230820978</c:v>
                </c:pt>
                <c:pt idx="1256">
                  <c:v>0.99634449017912408</c:v>
                </c:pt>
                <c:pt idx="1257">
                  <c:v>0.99636441158026101</c:v>
                </c:pt>
                <c:pt idx="1258">
                  <c:v>0.99638429613062263</c:v>
                </c:pt>
                <c:pt idx="1259">
                  <c:v>0.99640405483292893</c:v>
                </c:pt>
                <c:pt idx="1260">
                  <c:v>0.99642371809090569</c:v>
                </c:pt>
                <c:pt idx="1261">
                  <c:v>0.9964433038172642</c:v>
                </c:pt>
                <c:pt idx="1262">
                  <c:v>0.99646279464221055</c:v>
                </c:pt>
                <c:pt idx="1263">
                  <c:v>0.99648213128612018</c:v>
                </c:pt>
                <c:pt idx="1264">
                  <c:v>0.99650143328304452</c:v>
                </c:pt>
                <c:pt idx="1265">
                  <c:v>0.99652064135340146</c:v>
                </c:pt>
                <c:pt idx="1266">
                  <c:v>0.99653975582207832</c:v>
                </c:pt>
                <c:pt idx="1267">
                  <c:v>0.99655874721169435</c:v>
                </c:pt>
                <c:pt idx="1268">
                  <c:v>0.99657767545184339</c:v>
                </c:pt>
                <c:pt idx="1269">
                  <c:v>0.99659650361455099</c:v>
                </c:pt>
                <c:pt idx="1270">
                  <c:v>0.99661522493942123</c:v>
                </c:pt>
                <c:pt idx="1271">
                  <c:v>0.99663389419203874</c:v>
                </c:pt>
                <c:pt idx="1272">
                  <c:v>0.99665247190399608</c:v>
                </c:pt>
                <c:pt idx="1273">
                  <c:v>0.99667083930242351</c:v>
                </c:pt>
                <c:pt idx="1274">
                  <c:v>0.99668923524206643</c:v>
                </c:pt>
                <c:pt idx="1275">
                  <c:v>0.99670751114777323</c:v>
                </c:pt>
                <c:pt idx="1276">
                  <c:v>0.99672572706047669</c:v>
                </c:pt>
                <c:pt idx="1277">
                  <c:v>0.99674379400955271</c:v>
                </c:pt>
                <c:pt idx="1278">
                  <c:v>0.9967618167394775</c:v>
                </c:pt>
                <c:pt idx="1279">
                  <c:v>0.99677973608193682</c:v>
                </c:pt>
                <c:pt idx="1280">
                  <c:v>0.99679755299489192</c:v>
                </c:pt>
                <c:pt idx="1281">
                  <c:v>0.99681532053237787</c:v>
                </c:pt>
                <c:pt idx="1282">
                  <c:v>0.99683300088939664</c:v>
                </c:pt>
                <c:pt idx="1283">
                  <c:v>0.99685053489442732</c:v>
                </c:pt>
                <c:pt idx="1284">
                  <c:v>0.99686798258517029</c:v>
                </c:pt>
                <c:pt idx="1285">
                  <c:v>0.99688540399943304</c:v>
                </c:pt>
                <c:pt idx="1286">
                  <c:v>0.99690273996574219</c:v>
                </c:pt>
                <c:pt idx="1287">
                  <c:v>0.99691996111482661</c:v>
                </c:pt>
                <c:pt idx="1288">
                  <c:v>0.99693709768223671</c:v>
                </c:pt>
                <c:pt idx="1289">
                  <c:v>0.99695415755159256</c:v>
                </c:pt>
                <c:pt idx="1290">
                  <c:v>0.996971119466456</c:v>
                </c:pt>
                <c:pt idx="1291">
                  <c:v>0.99698804661078</c:v>
                </c:pt>
                <c:pt idx="1292">
                  <c:v>0.99700483120270345</c:v>
                </c:pt>
                <c:pt idx="1293">
                  <c:v>0.99702153318140685</c:v>
                </c:pt>
                <c:pt idx="1294">
                  <c:v>0.99703821248601043</c:v>
                </c:pt>
                <c:pt idx="1295">
                  <c:v>0.99705475024179746</c:v>
                </c:pt>
                <c:pt idx="1296">
                  <c:v>0.99707126599264284</c:v>
                </c:pt>
                <c:pt idx="1297">
                  <c:v>0.99708764086372392</c:v>
                </c:pt>
                <c:pt idx="1298">
                  <c:v>0.99710396459664674</c:v>
                </c:pt>
                <c:pt idx="1299">
                  <c:v>0.99712020027296433</c:v>
                </c:pt>
                <c:pt idx="1300">
                  <c:v>0.99713634156455011</c:v>
                </c:pt>
                <c:pt idx="1301">
                  <c:v>0.9971524662287552</c:v>
                </c:pt>
                <c:pt idx="1302">
                  <c:v>0.99716845172592405</c:v>
                </c:pt>
                <c:pt idx="1303">
                  <c:v>0.99718429843051348</c:v>
                </c:pt>
                <c:pt idx="1304">
                  <c:v>0.99720018553086021</c:v>
                </c:pt>
                <c:pt idx="1305">
                  <c:v>0.99721596438984461</c:v>
                </c:pt>
                <c:pt idx="1306">
                  <c:v>0.99723163538197457</c:v>
                </c:pt>
                <c:pt idx="1307">
                  <c:v>0.9972472286839632</c:v>
                </c:pt>
                <c:pt idx="1308">
                  <c:v>0.99726277447269251</c:v>
                </c:pt>
                <c:pt idx="1309">
                  <c:v>0.99727822096847818</c:v>
                </c:pt>
                <c:pt idx="1310">
                  <c:v>0.99729357682811826</c:v>
                </c:pt>
                <c:pt idx="1311">
                  <c:v>0.99730891403927713</c:v>
                </c:pt>
                <c:pt idx="1312">
                  <c:v>0.9973241157565268</c:v>
                </c:pt>
                <c:pt idx="1313">
                  <c:v>0.99733924188743306</c:v>
                </c:pt>
                <c:pt idx="1314">
                  <c:v>0.99735429273486986</c:v>
                </c:pt>
                <c:pt idx="1315">
                  <c:v>0.99736932820643742</c:v>
                </c:pt>
                <c:pt idx="1316">
                  <c:v>0.99738425919814289</c:v>
                </c:pt>
                <c:pt idx="1317">
                  <c:v>0.99739908601284455</c:v>
                </c:pt>
                <c:pt idx="1318">
                  <c:v>0.9974138834593721</c:v>
                </c:pt>
                <c:pt idx="1319">
                  <c:v>0.99742857733476742</c:v>
                </c:pt>
                <c:pt idx="1320">
                  <c:v>0.99744321179842366</c:v>
                </c:pt>
                <c:pt idx="1321">
                  <c:v>0.99745774090667105</c:v>
                </c:pt>
                <c:pt idx="1322">
                  <c:v>0.99747225668002437</c:v>
                </c:pt>
                <c:pt idx="1323">
                  <c:v>0.99748664013250832</c:v>
                </c:pt>
                <c:pt idx="1324">
                  <c:v>0.99750095109203962</c:v>
                </c:pt>
                <c:pt idx="1325">
                  <c:v>0.99751524938660963</c:v>
                </c:pt>
                <c:pt idx="1326">
                  <c:v>0.99752944583261993</c:v>
                </c:pt>
                <c:pt idx="1327">
                  <c:v>0.99754354065332407</c:v>
                </c:pt>
                <c:pt idx="1328">
                  <c:v>0.99755759367678276</c:v>
                </c:pt>
                <c:pt idx="1329">
                  <c:v>0.99757157532391738</c:v>
                </c:pt>
                <c:pt idx="1330">
                  <c:v>0.99758548520752854</c:v>
                </c:pt>
                <c:pt idx="1331">
                  <c:v>0.99759933676619106</c:v>
                </c:pt>
                <c:pt idx="1332">
                  <c:v>0.99761311797617069</c:v>
                </c:pt>
                <c:pt idx="1333">
                  <c:v>0.99762676981373888</c:v>
                </c:pt>
                <c:pt idx="1334">
                  <c:v>0.99764035246441818</c:v>
                </c:pt>
                <c:pt idx="1335">
                  <c:v>0.99765395591612349</c:v>
                </c:pt>
                <c:pt idx="1336">
                  <c:v>0.99766743173821437</c:v>
                </c:pt>
                <c:pt idx="1337">
                  <c:v>0.99768084011619296</c:v>
                </c:pt>
                <c:pt idx="1338">
                  <c:v>0.9976942114333992</c:v>
                </c:pt>
                <c:pt idx="1339">
                  <c:v>0.99770750156719723</c:v>
                </c:pt>
                <c:pt idx="1340">
                  <c:v>0.99772072554831304</c:v>
                </c:pt>
                <c:pt idx="1341">
                  <c:v>0.99773389371003873</c:v>
                </c:pt>
                <c:pt idx="1342">
                  <c:v>0.99774699670782452</c:v>
                </c:pt>
                <c:pt idx="1343">
                  <c:v>0.99775997489336443</c:v>
                </c:pt>
                <c:pt idx="1344">
                  <c:v>0.99777294743225942</c:v>
                </c:pt>
                <c:pt idx="1345">
                  <c:v>0.99778585467623271</c:v>
                </c:pt>
                <c:pt idx="1346">
                  <c:v>0.9977986965816813</c:v>
                </c:pt>
                <c:pt idx="1347">
                  <c:v>0.9978114433025681</c:v>
                </c:pt>
                <c:pt idx="1348">
                  <c:v>0.99782415439997696</c:v>
                </c:pt>
                <c:pt idx="1349">
                  <c:v>0.99783677767612033</c:v>
                </c:pt>
                <c:pt idx="1350">
                  <c:v>0.99784935003364206</c:v>
                </c:pt>
                <c:pt idx="1351">
                  <c:v>0.9978618528012817</c:v>
                </c:pt>
                <c:pt idx="1352">
                  <c:v>0.99787429067870204</c:v>
                </c:pt>
                <c:pt idx="1353">
                  <c:v>0.9978866643324279</c:v>
                </c:pt>
                <c:pt idx="1354">
                  <c:v>0.99789897442895537</c:v>
                </c:pt>
                <c:pt idx="1355">
                  <c:v>0.99791122163483859</c:v>
                </c:pt>
                <c:pt idx="1356">
                  <c:v>0.9979234066166599</c:v>
                </c:pt>
                <c:pt idx="1357">
                  <c:v>0.99793553004088997</c:v>
                </c:pt>
                <c:pt idx="1358">
                  <c:v>0.99794759257415422</c:v>
                </c:pt>
                <c:pt idx="1359">
                  <c:v>0.99795959488291364</c:v>
                </c:pt>
                <c:pt idx="1360">
                  <c:v>0.99797153745897249</c:v>
                </c:pt>
                <c:pt idx="1361">
                  <c:v>0.99798342119909278</c:v>
                </c:pt>
                <c:pt idx="1362">
                  <c:v>0.99799524592875533</c:v>
                </c:pt>
                <c:pt idx="1363">
                  <c:v>0.9980070115288262</c:v>
                </c:pt>
                <c:pt idx="1364">
                  <c:v>0.9980187178801545</c:v>
                </c:pt>
                <c:pt idx="1365">
                  <c:v>0.99803036486363261</c:v>
                </c:pt>
                <c:pt idx="1366">
                  <c:v>0.99804195236018733</c:v>
                </c:pt>
                <c:pt idx="1367">
                  <c:v>0.998053480250636</c:v>
                </c:pt>
                <c:pt idx="1368">
                  <c:v>0.99806494841594373</c:v>
                </c:pt>
                <c:pt idx="1369">
                  <c:v>0.99807635673691997</c:v>
                </c:pt>
                <c:pt idx="1370">
                  <c:v>0.9980877050391106</c:v>
                </c:pt>
                <c:pt idx="1371">
                  <c:v>0.99809898747214831</c:v>
                </c:pt>
                <c:pt idx="1372">
                  <c:v>0.99811026995250862</c:v>
                </c:pt>
                <c:pt idx="1373">
                  <c:v>0.99812137419141378</c:v>
                </c:pt>
                <c:pt idx="1374">
                  <c:v>0.99813247952793549</c:v>
                </c:pt>
                <c:pt idx="1375">
                  <c:v>0.9981435566849346</c:v>
                </c:pt>
                <c:pt idx="1376">
                  <c:v>0.9981545763853058</c:v>
                </c:pt>
                <c:pt idx="1377">
                  <c:v>0.99816547954951085</c:v>
                </c:pt>
                <c:pt idx="1378">
                  <c:v>0.99817638591209512</c:v>
                </c:pt>
                <c:pt idx="1379">
                  <c:v>0.99818720659119009</c:v>
                </c:pt>
                <c:pt idx="1380">
                  <c:v>0.99819797196692872</c:v>
                </c:pt>
                <c:pt idx="1381">
                  <c:v>0.99820868240958771</c:v>
                </c:pt>
                <c:pt idx="1382">
                  <c:v>0.9982193977903322</c:v>
                </c:pt>
                <c:pt idx="1383">
                  <c:v>0.9982299394594002</c:v>
                </c:pt>
                <c:pt idx="1384">
                  <c:v>0.99824048639488849</c:v>
                </c:pt>
                <c:pt idx="1385">
                  <c:v>0.99825100895867136</c:v>
                </c:pt>
                <c:pt idx="1386">
                  <c:v>0.99826147751266114</c:v>
                </c:pt>
                <c:pt idx="1387">
                  <c:v>0.99827183261634</c:v>
                </c:pt>
                <c:pt idx="1388">
                  <c:v>0.99828219364326809</c:v>
                </c:pt>
                <c:pt idx="1389">
                  <c:v>0.99829247135059707</c:v>
                </c:pt>
                <c:pt idx="1390">
                  <c:v>0.99830269585470799</c:v>
                </c:pt>
                <c:pt idx="1391">
                  <c:v>0.99831290876742962</c:v>
                </c:pt>
                <c:pt idx="1392">
                  <c:v>0.99832300913524985</c:v>
                </c:pt>
                <c:pt idx="1393">
                  <c:v>0.99833305681135931</c:v>
                </c:pt>
                <c:pt idx="1394">
                  <c:v>0.9983430520442973</c:v>
                </c:pt>
                <c:pt idx="1395">
                  <c:v>0.99835305468727831</c:v>
                </c:pt>
                <c:pt idx="1396">
                  <c:v>0.99836297558194476</c:v>
                </c:pt>
                <c:pt idx="1397">
                  <c:v>0.99837284477912103</c:v>
                </c:pt>
                <c:pt idx="1398">
                  <c:v>0.99838264762628981</c:v>
                </c:pt>
                <c:pt idx="1399">
                  <c:v>0.99839241417426838</c:v>
                </c:pt>
                <c:pt idx="1400">
                  <c:v>0.99840211510639298</c:v>
                </c:pt>
                <c:pt idx="1401">
                  <c:v>0.99841179789419054</c:v>
                </c:pt>
                <c:pt idx="1402">
                  <c:v>0.99842143025089281</c:v>
                </c:pt>
                <c:pt idx="1403">
                  <c:v>0.99843089323924361</c:v>
                </c:pt>
                <c:pt idx="1404">
                  <c:v>0.99844042554985379</c:v>
                </c:pt>
                <c:pt idx="1405">
                  <c:v>0.99844990824548963</c:v>
                </c:pt>
                <c:pt idx="1406">
                  <c:v>0.99845934159824978</c:v>
                </c:pt>
                <c:pt idx="1407">
                  <c:v>0.99846866627548092</c:v>
                </c:pt>
                <c:pt idx="1408">
                  <c:v>0.99847800175858181</c:v>
                </c:pt>
                <c:pt idx="1409">
                  <c:v>0.99848725891263657</c:v>
                </c:pt>
                <c:pt idx="1410">
                  <c:v>0.99849646812692983</c:v>
                </c:pt>
                <c:pt idx="1411">
                  <c:v>0.99850567670666202</c:v>
                </c:pt>
                <c:pt idx="1412">
                  <c:v>0.99851477779282982</c:v>
                </c:pt>
                <c:pt idx="1413">
                  <c:v>0.99852383108386589</c:v>
                </c:pt>
                <c:pt idx="1414">
                  <c:v>0.99853283667338344</c:v>
                </c:pt>
                <c:pt idx="1415">
                  <c:v>0.99854182445751427</c:v>
                </c:pt>
                <c:pt idx="1416">
                  <c:v>0.99855076472761251</c:v>
                </c:pt>
                <c:pt idx="1417">
                  <c:v>0.99855962777510421</c:v>
                </c:pt>
                <c:pt idx="1418">
                  <c:v>0.99856847329834186</c:v>
                </c:pt>
                <c:pt idx="1419">
                  <c:v>0.99857726413816394</c:v>
                </c:pt>
                <c:pt idx="1420">
                  <c:v>0.99858599332188247</c:v>
                </c:pt>
                <c:pt idx="1421">
                  <c:v>0.99859467961025072</c:v>
                </c:pt>
                <c:pt idx="1422">
                  <c:v>0.99860337888380413</c:v>
                </c:pt>
                <c:pt idx="1423">
                  <c:v>0.99861191275461403</c:v>
                </c:pt>
                <c:pt idx="1424">
                  <c:v>0.99862046046244712</c:v>
                </c:pt>
                <c:pt idx="1425">
                  <c:v>0.99862899263100757</c:v>
                </c:pt>
                <c:pt idx="1426">
                  <c:v>0.99863747988386753</c:v>
                </c:pt>
                <c:pt idx="1427">
                  <c:v>0.99864586304234904</c:v>
                </c:pt>
                <c:pt idx="1428">
                  <c:v>0.99865426174166672</c:v>
                </c:pt>
                <c:pt idx="1429">
                  <c:v>0.99866259445139394</c:v>
                </c:pt>
                <c:pt idx="1430">
                  <c:v>0.99867086943077088</c:v>
                </c:pt>
                <c:pt idx="1431">
                  <c:v>0.99867913406482467</c:v>
                </c:pt>
                <c:pt idx="1432">
                  <c:v>0.99868735589791346</c:v>
                </c:pt>
                <c:pt idx="1433">
                  <c:v>0.99869547531050651</c:v>
                </c:pt>
                <c:pt idx="1434">
                  <c:v>0.99870361149684217</c:v>
                </c:pt>
                <c:pt idx="1435">
                  <c:v>0.9987116750350864</c:v>
                </c:pt>
                <c:pt idx="1436">
                  <c:v>0.99871972551488986</c:v>
                </c:pt>
                <c:pt idx="1437">
                  <c:v>0.99872767351436365</c:v>
                </c:pt>
                <c:pt idx="1438">
                  <c:v>0.99873563822783062</c:v>
                </c:pt>
                <c:pt idx="1439">
                  <c:v>0.99874354513455788</c:v>
                </c:pt>
                <c:pt idx="1440">
                  <c:v>0.99875140859182732</c:v>
                </c:pt>
                <c:pt idx="1441">
                  <c:v>0.99875924897804724</c:v>
                </c:pt>
                <c:pt idx="1442">
                  <c:v>0.998766987184729</c:v>
                </c:pt>
                <c:pt idx="1443">
                  <c:v>0.99877468317721219</c:v>
                </c:pt>
                <c:pt idx="1444">
                  <c:v>0.99878239692067017</c:v>
                </c:pt>
                <c:pt idx="1445">
                  <c:v>0.99879006917117208</c:v>
                </c:pt>
                <c:pt idx="1446">
                  <c:v>0.99879767048698087</c:v>
                </c:pt>
                <c:pt idx="1447">
                  <c:v>0.99880523103107788</c:v>
                </c:pt>
                <c:pt idx="1448">
                  <c:v>0.99881276606523783</c:v>
                </c:pt>
                <c:pt idx="1449">
                  <c:v>0.99882025359837201</c:v>
                </c:pt>
                <c:pt idx="1450">
                  <c:v>0.99882770107785801</c:v>
                </c:pt>
                <c:pt idx="1451">
                  <c:v>0.99883513189038065</c:v>
                </c:pt>
                <c:pt idx="1452">
                  <c:v>0.99884252337073631</c:v>
                </c:pt>
                <c:pt idx="1453">
                  <c:v>0.99884975630672257</c:v>
                </c:pt>
                <c:pt idx="1454">
                  <c:v>0.99885706911384631</c:v>
                </c:pt>
                <c:pt idx="1455">
                  <c:v>0.99886434257992285</c:v>
                </c:pt>
                <c:pt idx="1456">
                  <c:v>0.99887154689960966</c:v>
                </c:pt>
                <c:pt idx="1457">
                  <c:v>0.9988787118722835</c:v>
                </c:pt>
                <c:pt idx="1458">
                  <c:v>0.99888585239611105</c:v>
                </c:pt>
                <c:pt idx="1459">
                  <c:v>0.99889294611639989</c:v>
                </c:pt>
                <c:pt idx="1460">
                  <c:v>0.99890000020491454</c:v>
                </c:pt>
                <c:pt idx="1461">
                  <c:v>0.99890699590729271</c:v>
                </c:pt>
                <c:pt idx="1462">
                  <c:v>0.99891401222188902</c:v>
                </c:pt>
                <c:pt idx="1463">
                  <c:v>0.99892087070135305</c:v>
                </c:pt>
                <c:pt idx="1464">
                  <c:v>0.99892781013068876</c:v>
                </c:pt>
                <c:pt idx="1465">
                  <c:v>0.99893468186488588</c:v>
                </c:pt>
                <c:pt idx="1466">
                  <c:v>0.99894151607274373</c:v>
                </c:pt>
                <c:pt idx="1467">
                  <c:v>0.9989482833184915</c:v>
                </c:pt>
                <c:pt idx="1468">
                  <c:v>0.99895504357327636</c:v>
                </c:pt>
                <c:pt idx="1469">
                  <c:v>0.99896175250016084</c:v>
                </c:pt>
                <c:pt idx="1470">
                  <c:v>0.99896842517102302</c:v>
                </c:pt>
                <c:pt idx="1471">
                  <c:v>0.99897509512613814</c:v>
                </c:pt>
                <c:pt idx="1472">
                  <c:v>0.99898167010791405</c:v>
                </c:pt>
                <c:pt idx="1473">
                  <c:v>0.99898821004608263</c:v>
                </c:pt>
                <c:pt idx="1474">
                  <c:v>0.99899477487022337</c:v>
                </c:pt>
                <c:pt idx="1475">
                  <c:v>0.99900127549847217</c:v>
                </c:pt>
                <c:pt idx="1476">
                  <c:v>0.99900774205813303</c:v>
                </c:pt>
                <c:pt idx="1477">
                  <c:v>0.99901417487426403</c:v>
                </c:pt>
                <c:pt idx="1478">
                  <c:v>0.99902057427186963</c:v>
                </c:pt>
                <c:pt idx="1479">
                  <c:v>0.99902694057600272</c:v>
                </c:pt>
                <c:pt idx="1480">
                  <c:v>0.99903327398796171</c:v>
                </c:pt>
                <c:pt idx="1481">
                  <c:v>0.99903959275502496</c:v>
                </c:pt>
                <c:pt idx="1482">
                  <c:v>0.99904587812729184</c:v>
                </c:pt>
                <c:pt idx="1483">
                  <c:v>0.99905206954880366</c:v>
                </c:pt>
                <c:pt idx="1484">
                  <c:v>0.99905828527738971</c:v>
                </c:pt>
                <c:pt idx="1485">
                  <c:v>0.99906443495478314</c:v>
                </c:pt>
                <c:pt idx="1486">
                  <c:v>0.999070577234211</c:v>
                </c:pt>
                <c:pt idx="1487">
                  <c:v>0.99907665155968761</c:v>
                </c:pt>
                <c:pt idx="1488">
                  <c:v>0.99908270168330005</c:v>
                </c:pt>
                <c:pt idx="1489">
                  <c:v>0.99908870430196128</c:v>
                </c:pt>
                <c:pt idx="1490">
                  <c:v>0.99909466585629236</c:v>
                </c:pt>
                <c:pt idx="1491">
                  <c:v>0.99910060872747042</c:v>
                </c:pt>
                <c:pt idx="1492">
                  <c:v>0.99910651383717286</c:v>
                </c:pt>
                <c:pt idx="1493">
                  <c:v>0.99911232577653541</c:v>
                </c:pt>
                <c:pt idx="1494">
                  <c:v>0.99911816795046415</c:v>
                </c:pt>
                <c:pt idx="1495">
                  <c:v>0.99912395514779118</c:v>
                </c:pt>
                <c:pt idx="1496">
                  <c:v>0.99912975116883329</c:v>
                </c:pt>
                <c:pt idx="1497">
                  <c:v>0.9991355006046917</c:v>
                </c:pt>
                <c:pt idx="1498">
                  <c:v>0.99914125235454898</c:v>
                </c:pt>
                <c:pt idx="1499">
                  <c:v>0.99914698826240378</c:v>
                </c:pt>
                <c:pt idx="1500">
                  <c:v>0.99915271997451782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DE-4318-8C59-F01CB99ED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5476560"/>
        <c:axId val="-2145473088"/>
      </c:scatterChart>
      <c:valAx>
        <c:axId val="-2145476560"/>
        <c:scaling>
          <c:orientation val="minMax"/>
          <c:max val="1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5473088"/>
        <c:crosses val="autoZero"/>
        <c:crossBetween val="midCat"/>
      </c:valAx>
      <c:valAx>
        <c:axId val="-2145473088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5476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1676400</xdr:colOff>
      <xdr:row>8</xdr:row>
      <xdr:rowOff>4762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943600" y="19192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504825</xdr:colOff>
      <xdr:row>13</xdr:row>
      <xdr:rowOff>223837</xdr:rowOff>
    </xdr:from>
    <xdr:ext cx="828674" cy="4143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4772025" y="3357562"/>
              <a:ext cx="828674" cy="4143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7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700" b="0" i="1">
                            <a:latin typeface="Cambria Math" panose="02040503050406030204" pitchFamily="18" charset="0"/>
                          </a:rPr>
                          <m:t>=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en-US" sz="7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7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sSup>
                              <m:sSupPr>
                                <m:ctrlPr>
                                  <a:rPr lang="en-US" sz="7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7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US" sz="7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sz="7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𝛽</m:t>
                                        </m:r>
                                      </m:num>
                                      <m:den>
                                        <m:r>
                                          <a:rPr lang="en-US" sz="7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𝛼</m:t>
                                        </m:r>
                                      </m:den>
                                    </m:f>
                                    <m:f>
                                      <m:fPr>
                                        <m:ctrlPr>
                                          <a:rPr lang="en-US" sz="7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sSub>
                                          <m:sSubPr>
                                            <m:ctrlPr>
                                              <a:rPr lang="en-US" sz="7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700" b="0" i="1">
                                                <a:latin typeface="Cambria Math" panose="02040503050406030204" pitchFamily="18" charset="0"/>
                                              </a:rPr>
                                              <m:t>𝑣</m:t>
                                            </m:r>
                                          </m:e>
                                          <m:sub>
                                            <m:r>
                                              <a:rPr lang="en-US" sz="700" b="0" i="1">
                                                <a:latin typeface="Cambria Math" panose="02040503050406030204" pitchFamily="18" charset="0"/>
                                              </a:rPr>
                                              <m:t>𝑑</m:t>
                                            </m:r>
                                          </m:sub>
                                        </m:sSub>
                                      </m:num>
                                      <m:den>
                                        <m:sSub>
                                          <m:sSubPr>
                                            <m:ctrlPr>
                                              <a:rPr lang="en-US" sz="7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700" b="0" i="1">
                                                <a:latin typeface="Cambria Math" panose="02040503050406030204" pitchFamily="18" charset="0"/>
                                              </a:rPr>
                                              <m:t>𝑣</m:t>
                                            </m:r>
                                          </m:e>
                                          <m:sub>
                                            <m:r>
                                              <a:rPr lang="en-US" sz="700" b="0" i="1">
                                                <a:latin typeface="Cambria Math" panose="02040503050406030204" pitchFamily="18" charset="0"/>
                                              </a:rPr>
                                              <m:t>𝑇</m:t>
                                            </m:r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n-US" sz="7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e>
                        </m:d>
                      </m:e>
                      <m:sup>
                        <m:r>
                          <a:rPr lang="en-US" sz="700" b="0" i="1">
                            <a:latin typeface="Cambria Math" panose="02040503050406030204" pitchFamily="18" charset="0"/>
                          </a:rPr>
                          <m:t>−1/2</m:t>
                        </m:r>
                      </m:sup>
                    </m:sSup>
                  </m:oMath>
                </m:oMathPara>
              </a14:m>
              <a:endParaRPr lang="en-US" sz="7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4772025" y="3357562"/>
              <a:ext cx="828674" cy="4143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700" i="0">
                  <a:latin typeface="Cambria Math" panose="02040503050406030204" pitchFamily="18" charset="0"/>
                </a:rPr>
                <a:t>〖</a:t>
              </a:r>
              <a:r>
                <a:rPr lang="en-US" sz="700" b="0" i="0">
                  <a:latin typeface="Cambria Math" panose="02040503050406030204" pitchFamily="18" charset="0"/>
                </a:rPr>
                <a:t>=[1+(</a:t>
              </a:r>
              <a:r>
                <a:rPr lang="en-US" sz="7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𝛽/𝛼  </a:t>
              </a:r>
              <a:r>
                <a:rPr lang="en-US" sz="700" b="0" i="0">
                  <a:latin typeface="Cambria Math" panose="02040503050406030204" pitchFamily="18" charset="0"/>
                </a:rPr>
                <a:t>𝑣_𝑑/𝑣_𝑇 )^2 ]〗^(−1/2)</a:t>
              </a:r>
              <a:endParaRPr lang="en-US" sz="700"/>
            </a:p>
          </xdr:txBody>
        </xdr:sp>
      </mc:Fallback>
    </mc:AlternateContent>
    <xdr:clientData/>
  </xdr:oneCellAnchor>
  <xdr:twoCellAnchor>
    <xdr:from>
      <xdr:col>2</xdr:col>
      <xdr:colOff>200026</xdr:colOff>
      <xdr:row>9</xdr:row>
      <xdr:rowOff>47626</xdr:rowOff>
    </xdr:from>
    <xdr:to>
      <xdr:col>5</xdr:col>
      <xdr:colOff>85725</xdr:colOff>
      <xdr:row>14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752726" y="2219326"/>
          <a:ext cx="1600199" cy="134302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/>
            <a:t>*</a:t>
          </a:r>
          <a:r>
            <a:rPr lang="en-US" sz="800" b="1" u="sng"/>
            <a:t>Follow steps</a:t>
          </a:r>
          <a:r>
            <a:rPr lang="en-US" sz="800" b="1" u="sng" baseline="0"/>
            <a:t> 1, 2, 3</a:t>
          </a:r>
          <a:r>
            <a:rPr lang="en-US" sz="800" b="1" u="sng"/>
            <a:t> to obtain f</a:t>
          </a:r>
          <a:r>
            <a:rPr lang="en-US" sz="800" b="1" u="sng" baseline="-25000"/>
            <a:t>c</a:t>
          </a:r>
          <a:r>
            <a:rPr lang="en-US" sz="800" b="1" u="sng" baseline="0"/>
            <a:t> if cubic spline is  not installed!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0" baseline="0"/>
            <a:t>Steps 1, 2 are on the fc sheet.  Follow link below to free cubic spline interpolator.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8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n-US" sz="8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8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Paste</a:t>
          </a:r>
          <a:r>
            <a:rPr lang="en-US" sz="8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</a:t>
          </a:r>
          <a:r>
            <a:rPr lang="en-US" sz="800" b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sz="8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as a value </a:t>
          </a:r>
          <a:r>
            <a:rPr lang="en-US" sz="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sheet fc after interpolation !</a:t>
          </a:r>
          <a:endParaRPr lang="en-US" sz="800">
            <a:effectLst/>
          </a:endParaRPr>
        </a:p>
        <a:p>
          <a:endParaRPr lang="en-US" sz="1400" b="1"/>
        </a:p>
      </xdr:txBody>
    </xdr:sp>
    <xdr:clientData/>
  </xdr:twoCellAnchor>
  <xdr:oneCellAnchor>
    <xdr:from>
      <xdr:col>5</xdr:col>
      <xdr:colOff>171450</xdr:colOff>
      <xdr:row>10</xdr:row>
      <xdr:rowOff>42862</xdr:rowOff>
    </xdr:from>
    <xdr:ext cx="24583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4438650" y="2462212"/>
              <a:ext cx="2458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acc>
                      <m:accPr>
                        <m:chr m:val="̂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4438650" y="2462212"/>
              <a:ext cx="2458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=𝑐 ̂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352424</xdr:colOff>
      <xdr:row>16</xdr:row>
      <xdr:rowOff>180975</xdr:rowOff>
    </xdr:from>
    <xdr:ext cx="942975" cy="4143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4619624" y="3790950"/>
              <a:ext cx="942975" cy="41433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kumimoji="0" lang="en-US" sz="7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0" lang="en-US" sz="7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</m:t>
                        </m:r>
                        <m:d>
                          <m:dPr>
                            <m:begChr m:val="["/>
                            <m:endChr m:val="]"/>
                            <m:ctrlPr>
                              <a:rPr kumimoji="0" lang="en-US" sz="7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kumimoji="0" lang="en-US" sz="7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1+</m:t>
                            </m:r>
                            <m:sSup>
                              <m:sSupPr>
                                <m:ctrlPr>
                                  <a:rPr kumimoji="0" lang="en-US" sz="7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f>
                                  <m:fPr>
                                    <m:ctrlPr>
                                      <a:rPr kumimoji="0" lang="en-US" sz="7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kumimoji="0" lang="en-US" sz="7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8</m:t>
                                    </m:r>
                                  </m:num>
                                  <m:den>
                                    <m:r>
                                      <a:rPr kumimoji="0" lang="en-US" sz="7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  <m:r>
                                      <a:rPr kumimoji="0" lang="en-US" sz="7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𝜋</m:t>
                                    </m:r>
                                    <m:acc>
                                      <m:accPr>
                                        <m:chr m:val="̂"/>
                                        <m:ctrlPr>
                                          <a:rPr kumimoji="0" lang="en-US" sz="700" b="0" i="1" u="none" strike="noStrike" kern="0" cap="none" spc="0" normalizeH="0" baseline="0" noProof="0">
                                            <a:ln>
                                              <a:noFill/>
                                            </a:ln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uLnTx/>
                                            <a:uFillTx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kumimoji="0" lang="en-US" sz="700" b="0" i="1" u="none" strike="noStrike" kern="0" cap="none" spc="0" normalizeH="0" baseline="0" noProof="0">
                                            <a:ln>
                                              <a:noFill/>
                                            </a:ln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uLnTx/>
                                            <a:uFillTx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𝑚</m:t>
                                        </m:r>
                                      </m:e>
                                    </m:acc>
                                  </m:den>
                                </m:f>
                                <m:d>
                                  <m:dPr>
                                    <m:ctrlPr>
                                      <a:rPr kumimoji="0" lang="en-US" sz="7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kumimoji="0" lang="en-US" sz="700" b="0" i="1" u="none" strike="noStrike" kern="0" cap="none" spc="0" normalizeH="0" baseline="0" noProof="0">
                                            <a:ln>
                                              <a:noFill/>
                                            </a:ln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uLnTx/>
                                            <a:uFillTx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sSub>
                                          <m:sSubPr>
                                            <m:ctrlPr>
                                              <a:rPr kumimoji="0" lang="en-US" sz="700" b="0" i="1" u="none" strike="noStrike" kern="0" cap="none" spc="0" normalizeH="0" baseline="0" noProof="0">
                                                <a:ln>
                                                  <a:noFill/>
                                                </a:ln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uLnTx/>
                                                <a:uFillTx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kumimoji="0" lang="en-US" sz="700" b="0" i="1" u="none" strike="noStrike" kern="0" cap="none" spc="0" normalizeH="0" baseline="0" noProof="0">
                                                <a:ln>
                                                  <a:noFill/>
                                                </a:ln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uLnTx/>
                                                <a:uFillTx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𝑣</m:t>
                                            </m:r>
                                          </m:e>
                                          <m:sub>
                                            <m:r>
                                              <a:rPr kumimoji="0" lang="en-US" sz="700" b="0" i="1" u="none" strike="noStrike" kern="0" cap="none" spc="0" normalizeH="0" baseline="0" noProof="0">
                                                <a:ln>
                                                  <a:noFill/>
                                                </a:ln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uLnTx/>
                                                <a:uFillTx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𝑑</m:t>
                                            </m:r>
                                          </m:sub>
                                        </m:sSub>
                                      </m:num>
                                      <m:den>
                                        <m:sSub>
                                          <m:sSubPr>
                                            <m:ctrlPr>
                                              <a:rPr kumimoji="0" lang="en-US" sz="700" b="0" i="1" u="none" strike="noStrike" kern="0" cap="none" spc="0" normalizeH="0" baseline="0" noProof="0">
                                                <a:ln>
                                                  <a:noFill/>
                                                </a:ln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uLnTx/>
                                                <a:uFillTx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kumimoji="0" lang="en-US" sz="700" b="0" i="1" u="none" strike="noStrike" kern="0" cap="none" spc="0" normalizeH="0" baseline="0" noProof="0">
                                                <a:ln>
                                                  <a:noFill/>
                                                </a:ln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uLnTx/>
                                                <a:uFillTx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𝑣</m:t>
                                            </m:r>
                                          </m:e>
                                          <m:sub>
                                            <m:r>
                                              <a:rPr kumimoji="0" lang="en-US" sz="700" b="0" i="1" u="none" strike="noStrike" kern="0" cap="none" spc="0" normalizeH="0" baseline="0" noProof="0">
                                                <a:ln>
                                                  <a:noFill/>
                                                </a:ln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uLnTx/>
                                                <a:uFillTx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kumimoji="0" lang="en-US" sz="7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e>
                        </m:d>
                      </m:e>
                      <m:sup>
                        <m:r>
                          <a:rPr kumimoji="0" lang="en-US" sz="7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−1/2</m:t>
                        </m:r>
                      </m:sup>
                    </m:sSup>
                  </m:oMath>
                </m:oMathPara>
              </a14:m>
              <a:endParaRPr kumimoji="0" lang="en-US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2" name="TextBox 11"/>
            <xdr:cNvSpPr txBox="1"/>
          </xdr:nvSpPr>
          <xdr:spPr>
            <a:xfrm>
              <a:off x="4619624" y="3790950"/>
              <a:ext cx="942975" cy="414338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〖=[1+〖8/(3</a:t>
              </a:r>
              <a:r>
                <a:rPr kumimoji="0" lang="en-US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𝜋𝑚 ̂</a:t>
              </a:r>
              <a:r>
                <a:rPr kumimoji="0" lang="en-US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) (𝑣_𝑑/𝑣_𝑇 )〗^2 ]〗^(−1/2)</a:t>
              </a:r>
              <a:endParaRPr kumimoji="0" lang="en-US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5</xdr:col>
      <xdr:colOff>161925</xdr:colOff>
      <xdr:row>21</xdr:row>
      <xdr:rowOff>200025</xdr:rowOff>
    </xdr:from>
    <xdr:ext cx="1704975" cy="3524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4429125" y="5010150"/>
              <a:ext cx="1704975" cy="352425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kumimoji="0" lang="en-US" sz="6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kumimoji="0" lang="en-US" sz="6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</m:t>
                        </m:r>
                        <m:d>
                          <m:dPr>
                            <m:begChr m:val="["/>
                            <m:endChr m:val="]"/>
                            <m:ctrlPr>
                              <a:rPr kumimoji="0" lang="en-US" sz="6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kumimoji="0" lang="en-US" sz="6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1+(1+</m:t>
                            </m:r>
                            <m:sSub>
                              <m:sSubPr>
                                <m:ctrlPr>
                                  <a:rPr kumimoji="0" lang="en-US" sz="6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kumimoji="0" lang="en-US" sz="6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𝛽</m:t>
                                </m:r>
                              </m:e>
                              <m:sub>
                                <m:r>
                                  <a:rPr kumimoji="0" lang="en-US" sz="6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  <m:r>
                                  <a:rPr kumimoji="0" lang="en-US" sz="6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sub>
                            </m:sSub>
                            <m:sSup>
                              <m:sSupPr>
                                <m:ctrlPr>
                                  <a:rPr kumimoji="0" lang="en-US" sz="6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kumimoji="0" lang="en-US" sz="6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e>
                              <m:sup>
                                <m:r>
                                  <a:rPr kumimoji="0" lang="en-US" sz="6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′</m:t>
                                </m:r>
                              </m:sup>
                            </m:sSup>
                            <m:r>
                              <a:rPr kumimoji="0" lang="en-US" sz="6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  <m:sSup>
                              <m:sSupPr>
                                <m:ctrlPr>
                                  <a:rPr kumimoji="0" lang="en-US" sz="6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f>
                                  <m:fPr>
                                    <m:ctrlPr>
                                      <a:rPr kumimoji="0" lang="en-US" sz="6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kumimoji="0" lang="en-US" sz="6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8</m:t>
                                    </m:r>
                                  </m:num>
                                  <m:den>
                                    <m:r>
                                      <a:rPr kumimoji="0" lang="en-US" sz="6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3</m:t>
                                    </m:r>
                                    <m:r>
                                      <a:rPr kumimoji="0" lang="en-US" sz="6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𝜋</m:t>
                                    </m:r>
                                    <m:acc>
                                      <m:accPr>
                                        <m:chr m:val="̂"/>
                                        <m:ctrlPr>
                                          <a:rPr kumimoji="0" lang="en-US" sz="600" b="0" i="1" u="none" strike="noStrike" kern="0" cap="none" spc="0" normalizeH="0" baseline="0" noProof="0">
                                            <a:ln>
                                              <a:noFill/>
                                            </a:ln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uLnTx/>
                                            <a:uFillTx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accPr>
                                      <m:e>
                                        <m:r>
                                          <a:rPr kumimoji="0" lang="en-US" sz="600" b="0" i="1" u="none" strike="noStrike" kern="0" cap="none" spc="0" normalizeH="0" baseline="0" noProof="0">
                                            <a:ln>
                                              <a:noFill/>
                                            </a:ln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uLnTx/>
                                            <a:uFillTx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𝑚</m:t>
                                        </m:r>
                                      </m:e>
                                    </m:acc>
                                  </m:den>
                                </m:f>
                                <m:d>
                                  <m:dPr>
                                    <m:ctrlPr>
                                      <a:rPr kumimoji="0" lang="en-US" sz="6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kumimoji="0" lang="en-US" sz="600" b="0" i="1" u="none" strike="noStrike" kern="0" cap="none" spc="0" normalizeH="0" baseline="0" noProof="0">
                                            <a:ln>
                                              <a:noFill/>
                                            </a:ln>
                                            <a:solidFill>
                                              <a:sysClr val="windowText" lastClr="000000"/>
                                            </a:solidFill>
                                            <a:effectLst/>
                                            <a:uLnTx/>
                                            <a:uFillTx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sSub>
                                          <m:sSubPr>
                                            <m:ctrlPr>
                                              <a:rPr kumimoji="0" lang="en-US" sz="600" b="0" i="1" u="none" strike="noStrike" kern="0" cap="none" spc="0" normalizeH="0" baseline="0" noProof="0">
                                                <a:ln>
                                                  <a:noFill/>
                                                </a:ln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uLnTx/>
                                                <a:uFillTx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kumimoji="0" lang="en-US" sz="600" b="0" i="1" u="none" strike="noStrike" kern="0" cap="none" spc="0" normalizeH="0" baseline="0" noProof="0">
                                                <a:ln>
                                                  <a:noFill/>
                                                </a:ln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uLnTx/>
                                                <a:uFillTx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𝑣</m:t>
                                            </m:r>
                                          </m:e>
                                          <m:sub>
                                            <m:r>
                                              <a:rPr kumimoji="0" lang="en-US" sz="600" b="0" i="1" u="none" strike="noStrike" kern="0" cap="none" spc="0" normalizeH="0" baseline="0" noProof="0">
                                                <a:ln>
                                                  <a:noFill/>
                                                </a:ln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uLnTx/>
                                                <a:uFillTx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𝑑</m:t>
                                            </m:r>
                                          </m:sub>
                                        </m:sSub>
                                      </m:num>
                                      <m:den>
                                        <m:sSub>
                                          <m:sSubPr>
                                            <m:ctrlPr>
                                              <a:rPr kumimoji="0" lang="en-US" sz="600" b="0" i="1" u="none" strike="noStrike" kern="0" cap="none" spc="0" normalizeH="0" baseline="0" noProof="0">
                                                <a:ln>
                                                  <a:noFill/>
                                                </a:ln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uLnTx/>
                                                <a:uFillTx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kumimoji="0" lang="en-US" sz="600" b="0" i="1" u="none" strike="noStrike" kern="0" cap="none" spc="0" normalizeH="0" baseline="0" noProof="0">
                                                <a:ln>
                                                  <a:noFill/>
                                                </a:ln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uLnTx/>
                                                <a:uFillTx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𝑣</m:t>
                                            </m:r>
                                          </m:e>
                                          <m:sub>
                                            <m:r>
                                              <a:rPr kumimoji="0" lang="en-US" sz="600" b="0" i="1" u="none" strike="noStrike" kern="0" cap="none" spc="0" normalizeH="0" baseline="0" noProof="0">
                                                <a:ln>
                                                  <a:noFill/>
                                                </a:ln>
                                                <a:solidFill>
                                                  <a:sysClr val="windowText" lastClr="000000"/>
                                                </a:solidFill>
                                                <a:effectLst/>
                                                <a:uLnTx/>
                                                <a:uFillTx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kumimoji="0" lang="en-US" sz="6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e>
                        </m:d>
                      </m:e>
                      <m:sup>
                        <m:r>
                          <a:rPr kumimoji="0" lang="en-US" sz="6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−1/2</m:t>
                        </m:r>
                      </m:sup>
                    </m:sSup>
                    <m:d>
                      <m:dPr>
                        <m:ctrlPr>
                          <a:rPr kumimoji="0" lang="en-US" sz="6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kumimoji="0" lang="en-US" sz="6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1−</m:t>
                        </m:r>
                        <m:sSub>
                          <m:sSubPr>
                            <m:ctrlPr>
                              <a:rPr kumimoji="0" lang="en-US" sz="6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en-US" sz="6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𝛼</m:t>
                            </m:r>
                          </m:e>
                          <m:sub>
                            <m:r>
                              <a:rPr kumimoji="0" lang="en-US" sz="6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  <m:r>
                              <a:rPr kumimoji="0" lang="en-US" sz="6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  <m:r>
                          <a:rPr kumimoji="0" lang="en-US" sz="6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  <m:r>
                          <a:rPr kumimoji="0" lang="en-US" sz="6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e>
                    </m:d>
                  </m:oMath>
                </m:oMathPara>
              </a14:m>
              <a:endParaRPr kumimoji="0" lang="en-US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4" name="TextBox 13"/>
            <xdr:cNvSpPr txBox="1"/>
          </xdr:nvSpPr>
          <xdr:spPr>
            <a:xfrm>
              <a:off x="4429125" y="5010150"/>
              <a:ext cx="1704975" cy="352425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〖=[1+(1+</a:t>
              </a:r>
              <a:r>
                <a:rPr kumimoji="0" lang="en-US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𝛽</a:t>
              </a:r>
              <a:r>
                <a:rPr kumimoji="0" lang="en-US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_2𝑇 𝐾^′)〖8/(3</a:t>
              </a:r>
              <a:r>
                <a:rPr kumimoji="0" lang="en-US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𝜋𝑚 ̂</a:t>
              </a:r>
              <a:r>
                <a:rPr kumimoji="0" lang="en-US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) (𝑣_𝑑/𝑣_𝑇 )〗^2 ]〗^(−1/2) (1−</a:t>
              </a:r>
              <a:r>
                <a:rPr kumimoji="0" lang="en-US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𝛼</a:t>
              </a:r>
              <a:r>
                <a:rPr kumimoji="0" lang="en-US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_2𝑇 𝐾′)</a:t>
              </a:r>
              <a:endParaRPr kumimoji="0" lang="en-US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0</xdr:col>
      <xdr:colOff>57150</xdr:colOff>
      <xdr:row>18</xdr:row>
      <xdr:rowOff>33337</xdr:rowOff>
    </xdr:from>
    <xdr:ext cx="602344" cy="186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57150" y="4376737"/>
              <a:ext cx="602344" cy="186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acc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box>
                      <m:box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57150" y="4376737"/>
              <a:ext cx="602344" cy="186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𝑚 ̂=□(64&amp;𝑚/(𝑚+𝑀))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38100</xdr:colOff>
      <xdr:row>19</xdr:row>
      <xdr:rowOff>14287</xdr:rowOff>
    </xdr:from>
    <xdr:ext cx="605166" cy="1985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38100" y="4586287"/>
              <a:ext cx="605166" cy="1985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𝑀</m:t>
                        </m:r>
                      </m:e>
                    </m:acc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box>
                      <m:box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38100" y="4586287"/>
              <a:ext cx="605166" cy="1985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𝑀 ̂=□(64&amp;𝑀/(𝑚+𝑀))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38100</xdr:colOff>
      <xdr:row>0</xdr:row>
      <xdr:rowOff>142874</xdr:rowOff>
    </xdr:from>
    <xdr:ext cx="1666875" cy="981076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590800" y="142874"/>
          <a:ext cx="1666875" cy="9810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800" b="1" i="0" u="sng"/>
            <a:t>How to use the 3-column regions</a:t>
          </a:r>
          <a:r>
            <a:rPr lang="en-US" sz="800"/>
            <a:t>:</a:t>
          </a:r>
        </a:p>
        <a:p>
          <a:r>
            <a:rPr lang="en-US" sz="800"/>
            <a:t>Insert known value for field</a:t>
          </a:r>
          <a:r>
            <a:rPr lang="en-US" sz="800" baseline="0"/>
            <a:t> strength </a:t>
          </a:r>
        </a:p>
        <a:p>
          <a:r>
            <a:rPr lang="en-US" sz="800" baseline="0"/>
            <a:t>or mobility parameter in its yellow </a:t>
          </a:r>
        </a:p>
        <a:p>
          <a:r>
            <a:rPr lang="en-US" sz="800" baseline="0"/>
            <a:t>cell.   T</a:t>
          </a:r>
          <a:r>
            <a:rPr lang="en-US" sz="800"/>
            <a:t>hen</a:t>
          </a:r>
          <a:r>
            <a:rPr lang="en-US" sz="800" baseline="0"/>
            <a:t> </a:t>
          </a:r>
          <a:r>
            <a:rPr lang="en-US" sz="800"/>
            <a:t>from</a:t>
          </a:r>
          <a:r>
            <a:rPr lang="en-US" sz="800" baseline="0"/>
            <a:t> </a:t>
          </a:r>
          <a:r>
            <a:rPr lang="en-US" sz="800" b="1"/>
            <a:t>the</a:t>
          </a:r>
          <a:r>
            <a:rPr lang="en-US" sz="800" b="1" baseline="0"/>
            <a:t> same column </a:t>
          </a:r>
        </a:p>
        <a:p>
          <a:r>
            <a:rPr lang="en-US" sz="800" b="0" baseline="0"/>
            <a:t>copy each of the other two numbers </a:t>
          </a:r>
        </a:p>
        <a:p>
          <a:r>
            <a:rPr lang="en-US" sz="800" b="0" baseline="0"/>
            <a:t>and paste </a:t>
          </a:r>
          <a:r>
            <a:rPr lang="en-US" sz="800" b="1" baseline="0"/>
            <a:t>as a value</a:t>
          </a:r>
          <a:r>
            <a:rPr lang="en-US" sz="800" b="0" baseline="0"/>
            <a:t> into the </a:t>
          </a:r>
        </a:p>
        <a:p>
          <a:r>
            <a:rPr lang="en-US" sz="800" b="0" baseline="0"/>
            <a:t>corresponding yellow cell.</a:t>
          </a:r>
          <a:endParaRPr lang="en-US" sz="800" b="1"/>
        </a:p>
      </xdr:txBody>
    </xdr:sp>
    <xdr:clientData/>
  </xdr:oneCellAnchor>
  <xdr:oneCellAnchor>
    <xdr:from>
      <xdr:col>9</xdr:col>
      <xdr:colOff>257176</xdr:colOff>
      <xdr:row>10</xdr:row>
      <xdr:rowOff>219075</xdr:rowOff>
    </xdr:from>
    <xdr:ext cx="809624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8486776" y="2638425"/>
              <a:ext cx="8096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</a:rPr>
                      <m:t>𝜔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𝑁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𝛺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486776" y="2638425"/>
              <a:ext cx="8096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𝜔</a:t>
              </a:r>
              <a:r>
                <a:rPr lang="en-US" sz="1100" b="0" i="0">
                  <a:latin typeface="Cambria Math" panose="02040503050406030204" pitchFamily="18" charset="0"/>
                </a:rPr>
                <a:t>=𝑁𝑣_𝑟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𝛺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9</xdr:col>
      <xdr:colOff>266700</xdr:colOff>
      <xdr:row>12</xdr:row>
      <xdr:rowOff>0</xdr:rowOff>
    </xdr:from>
    <xdr:ext cx="327397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496300" y="2895600"/>
          <a:ext cx="32739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Cambria Math" panose="02040503050406030204" pitchFamily="18" charset="0"/>
              <a:ea typeface="Cambria Math" panose="02040503050406030204" pitchFamily="18" charset="0"/>
            </a:rPr>
            <a:t>𝓝</a:t>
          </a:r>
          <a:endParaRPr lang="en-US" sz="1100"/>
        </a:p>
      </xdr:txBody>
    </xdr:sp>
    <xdr:clientData/>
  </xdr:oneCellAnchor>
  <xdr:oneCellAnchor>
    <xdr:from>
      <xdr:col>0</xdr:col>
      <xdr:colOff>9525</xdr:colOff>
      <xdr:row>21</xdr:row>
      <xdr:rowOff>28574</xdr:rowOff>
    </xdr:from>
    <xdr:ext cx="3324225" cy="228601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9525" y="5114924"/>
          <a:ext cx="3324225" cy="2286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800" u="sng">
              <a:solidFill>
                <a:schemeClr val="tx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 http://www.srs1software.com/SRS1CubicSplineForExcel.aspx?dest=Demos</a:t>
          </a:r>
          <a:endParaRPr lang="en-US" sz="8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0</xdr:row>
      <xdr:rowOff>190501</xdr:rowOff>
    </xdr:from>
    <xdr:to>
      <xdr:col>8</xdr:col>
      <xdr:colOff>523875</xdr:colOff>
      <xdr:row>4</xdr:row>
      <xdr:rowOff>57151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162299" y="190501"/>
          <a:ext cx="2362201" cy="7048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ym typeface="Symbol" panose="05050102010706020507" pitchFamily="18" charset="2"/>
            </a:rPr>
            <a:t>1.</a:t>
          </a:r>
        </a:p>
        <a:p>
          <a:r>
            <a:rPr lang="en-US" sz="1100">
              <a:sym typeface="Symbol" panose="05050102010706020507" pitchFamily="18" charset="2"/>
            </a:rPr>
            <a:t></a:t>
          </a:r>
          <a:r>
            <a:rPr lang="en-US" sz="900">
              <a:sym typeface="Symbol" panose="05050102010706020507" pitchFamily="18" charset="2"/>
            </a:rPr>
            <a:t>These two numbers must be pasted</a:t>
          </a:r>
          <a:r>
            <a:rPr lang="en-US" sz="900" baseline="0">
              <a:sym typeface="Symbol" panose="05050102010706020507" pitchFamily="18" charset="2"/>
            </a:rPr>
            <a:t> here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  <a:sym typeface="Symbol" panose="05050102010706020507" pitchFamily="18" charset="2"/>
          </a:endParaRP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</a:t>
          </a:r>
          <a:r>
            <a:rPr lang="en-US" sz="9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from</a:t>
          </a:r>
          <a:r>
            <a:rPr lang="en-US" sz="9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 the appropriate rows of column B!</a:t>
          </a:r>
        </a:p>
      </xdr:txBody>
    </xdr:sp>
    <xdr:clientData/>
  </xdr:twoCellAnchor>
  <xdr:twoCellAnchor>
    <xdr:from>
      <xdr:col>5</xdr:col>
      <xdr:colOff>28575</xdr:colOff>
      <xdr:row>4</xdr:row>
      <xdr:rowOff>142875</xdr:rowOff>
    </xdr:from>
    <xdr:to>
      <xdr:col>9</xdr:col>
      <xdr:colOff>114300</xdr:colOff>
      <xdr:row>8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171825" y="981075"/>
          <a:ext cx="2552700" cy="6477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ym typeface="Symbol" panose="05050102010706020507" pitchFamily="18" charset="2"/>
            </a:rPr>
            <a:t></a:t>
          </a:r>
          <a:r>
            <a:rPr lang="en-US" sz="900">
              <a:sym typeface="Symbol" panose="05050102010706020507" pitchFamily="18" charset="2"/>
            </a:rPr>
            <a:t>This number must</a:t>
          </a:r>
          <a:r>
            <a:rPr lang="en-US" sz="900" baseline="0">
              <a:sym typeface="Symbol" panose="05050102010706020507" pitchFamily="18" charset="2"/>
            </a:rPr>
            <a:t> be copied from here and pasted as a number into fc on MobilityCalculator!</a:t>
          </a:r>
        </a:p>
        <a:p>
          <a:r>
            <a:rPr lang="en-US" sz="1400" b="1" baseline="0">
              <a:sym typeface="Symbol" panose="05050102010706020507" pitchFamily="18" charset="2"/>
            </a:rPr>
            <a:t>2.</a:t>
          </a:r>
          <a:endParaRPr lang="en-US" sz="1400" b="1"/>
        </a:p>
      </xdr:txBody>
    </xdr:sp>
    <xdr:clientData/>
  </xdr:twoCellAnchor>
  <xdr:twoCellAnchor>
    <xdr:from>
      <xdr:col>13</xdr:col>
      <xdr:colOff>9525</xdr:colOff>
      <xdr:row>1</xdr:row>
      <xdr:rowOff>4761</xdr:rowOff>
    </xdr:from>
    <xdr:to>
      <xdr:col>20</xdr:col>
      <xdr:colOff>314325</xdr:colOff>
      <xdr:row>20</xdr:row>
      <xdr:rowOff>161924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tabSelected="1" workbookViewId="0">
      <selection activeCell="B8" sqref="B8"/>
    </sheetView>
  </sheetViews>
  <sheetFormatPr defaultColWidth="8.77734375" defaultRowHeight="14.4" x14ac:dyDescent="0.3"/>
  <cols>
    <col min="1" max="1" width="27.44140625" customWidth="1"/>
    <col min="2" max="4" width="10.6640625" customWidth="1"/>
    <col min="5" max="5" width="4.33203125" customWidth="1"/>
    <col min="6" max="6" width="27.33203125" customWidth="1"/>
    <col min="7" max="9" width="10.6640625" customWidth="1"/>
    <col min="10" max="10" width="4.44140625" customWidth="1"/>
    <col min="11" max="11" width="27.44140625" customWidth="1"/>
    <col min="12" max="13" width="10.6640625" customWidth="1"/>
  </cols>
  <sheetData>
    <row r="1" spans="1:14" ht="16.8" thickTop="1" thickBot="1" x14ac:dyDescent="0.4">
      <c r="A1" s="1" t="s">
        <v>50</v>
      </c>
      <c r="B1" s="2" t="s">
        <v>0</v>
      </c>
      <c r="C1" s="3"/>
      <c r="D1" s="3"/>
      <c r="F1" s="4" t="s">
        <v>1</v>
      </c>
      <c r="G1" s="5" t="s">
        <v>2</v>
      </c>
      <c r="H1" s="6" t="s">
        <v>3</v>
      </c>
      <c r="I1" s="7" t="s">
        <v>4</v>
      </c>
      <c r="K1" s="8" t="s">
        <v>72</v>
      </c>
      <c r="L1" s="2" t="s">
        <v>0</v>
      </c>
    </row>
    <row r="2" spans="1:14" ht="17.399999999999999" thickBot="1" x14ac:dyDescent="0.4">
      <c r="A2" s="9" t="s">
        <v>5</v>
      </c>
      <c r="B2" s="39">
        <v>298</v>
      </c>
      <c r="C2" s="10"/>
      <c r="D2" s="10"/>
      <c r="F2" s="9" t="s">
        <v>67</v>
      </c>
      <c r="G2" s="58">
        <v>0.82979999999999998</v>
      </c>
      <c r="H2" s="63">
        <f>(1000*$B$10*$B$4)/($H$3*$L$4*$B$7)</f>
        <v>3.0740869010923176E-2</v>
      </c>
      <c r="I2" s="16">
        <f>(750000000000000000000*$L$5*$B$17)/($L$3*$L$4*$B$18*$B$5*$I$4)</f>
        <v>1.2733064079680407</v>
      </c>
      <c r="K2" s="13" t="s">
        <v>7</v>
      </c>
      <c r="L2" s="94">
        <v>1.3806500000000001E-16</v>
      </c>
    </row>
    <row r="3" spans="1:14" ht="16.2" thickBot="1" x14ac:dyDescent="0.4">
      <c r="A3" s="9" t="s">
        <v>8</v>
      </c>
      <c r="B3" s="102">
        <v>15</v>
      </c>
      <c r="C3" s="10"/>
      <c r="D3" s="10"/>
      <c r="F3" s="9" t="s">
        <v>6</v>
      </c>
      <c r="G3" s="11">
        <f>($B$10*$B$4*1000)/($G$2*$L$4*$B$7)</f>
        <v>0.59459019959667037</v>
      </c>
      <c r="H3" s="57">
        <v>16.05</v>
      </c>
      <c r="I3" s="12">
        <f>($L$3*$B$18*$B$5*$B$10*$B$4*$I$4)/(750000000000000000*$L$5*$B$17*$B$7)</f>
        <v>0.38748799545639356</v>
      </c>
      <c r="K3" s="13" t="s">
        <v>10</v>
      </c>
      <c r="L3" s="94">
        <v>1.660539E-24</v>
      </c>
    </row>
    <row r="4" spans="1:14" ht="17.399999999999999" thickBot="1" x14ac:dyDescent="0.4">
      <c r="A4" s="9" t="s">
        <v>11</v>
      </c>
      <c r="B4" s="76">
        <f>$L$4*(273.15/B2)*(B3/760)</f>
        <v>4.8606359866213344E+17</v>
      </c>
      <c r="C4" s="15"/>
      <c r="D4" s="15"/>
      <c r="F4" s="18" t="s">
        <v>16</v>
      </c>
      <c r="G4" s="77">
        <f>(750000000000000000000*$L$5*$B$17)/($L$3*$L$4*$B$18*$B$5*$G$2)</f>
        <v>266.01638814815567</v>
      </c>
      <c r="H4" s="19">
        <f>(750000000000000000*$L$5*$B$17*$B$7*$H$3)/($L$3*$B$18*$B$5*$B$10*$B$4)</f>
        <v>7180.6818085365021</v>
      </c>
      <c r="I4" s="96">
        <v>173.36</v>
      </c>
      <c r="K4" s="9" t="s">
        <v>13</v>
      </c>
      <c r="L4" s="94">
        <v>2.68677E+19</v>
      </c>
    </row>
    <row r="5" spans="1:14" ht="18" thickTop="1" thickBot="1" x14ac:dyDescent="0.4">
      <c r="A5" s="36" t="s">
        <v>39</v>
      </c>
      <c r="B5" s="68">
        <f>(SQRT(8*$L$2*$B$2/(PI()*$B$18*$L$3)))/100</f>
        <v>517.10746073054759</v>
      </c>
      <c r="C5" s="15"/>
      <c r="D5" s="15"/>
      <c r="F5" s="14" t="s">
        <v>9</v>
      </c>
      <c r="G5" s="75">
        <f>$G$2*$B$7*$L$4/($B$4*100)</f>
        <v>252.27459198242727</v>
      </c>
      <c r="H5" s="80"/>
      <c r="I5" s="81"/>
      <c r="K5" s="9" t="s">
        <v>17</v>
      </c>
      <c r="L5" s="95">
        <v>1.602176E-19</v>
      </c>
    </row>
    <row r="6" spans="1:14" ht="18" thickTop="1" thickBot="1" x14ac:dyDescent="0.4">
      <c r="A6" s="1" t="s">
        <v>51</v>
      </c>
      <c r="B6" s="51" t="s">
        <v>2</v>
      </c>
      <c r="C6" s="6" t="s">
        <v>3</v>
      </c>
      <c r="D6" s="7" t="s">
        <v>4</v>
      </c>
      <c r="F6" s="9" t="s">
        <v>12</v>
      </c>
      <c r="G6" s="63">
        <f>G2*$L$4/$B$4</f>
        <v>45.868107633168592</v>
      </c>
      <c r="H6" s="53"/>
      <c r="I6" s="63"/>
      <c r="K6" s="9" t="s">
        <v>20</v>
      </c>
      <c r="L6" s="95">
        <v>4.8029999999999999E-10</v>
      </c>
    </row>
    <row r="7" spans="1:14" ht="16.8" thickBot="1" x14ac:dyDescent="0.35">
      <c r="A7" s="9" t="s">
        <v>15</v>
      </c>
      <c r="B7" s="57">
        <v>550</v>
      </c>
      <c r="C7" s="11">
        <f>$C$8/$B$10</f>
        <v>1666.6666666666667</v>
      </c>
      <c r="D7" s="70">
        <f>$D$9*$B$4*0.00000000000000001</f>
        <v>33.052324709025079</v>
      </c>
      <c r="F7" s="20" t="s">
        <v>19</v>
      </c>
      <c r="G7" s="74">
        <f>G6*$B$2/11605</f>
        <v>1.1778281839452167</v>
      </c>
      <c r="H7" s="79"/>
      <c r="I7" s="60"/>
      <c r="K7" s="9" t="s">
        <v>23</v>
      </c>
      <c r="L7" s="95">
        <v>299.79245800000001</v>
      </c>
    </row>
    <row r="8" spans="1:14" ht="15.6" thickTop="1" thickBot="1" x14ac:dyDescent="0.35">
      <c r="A8" s="9" t="s">
        <v>21</v>
      </c>
      <c r="B8" s="43">
        <f>$B$7*$B$10</f>
        <v>8250</v>
      </c>
      <c r="C8" s="42">
        <v>25000</v>
      </c>
      <c r="D8" s="71">
        <f>$D$9*$B$4*$B$10*0.00000000000000001</f>
        <v>495.78487063537619</v>
      </c>
      <c r="F8" s="21" t="s">
        <v>22</v>
      </c>
      <c r="G8" s="2" t="s">
        <v>0</v>
      </c>
      <c r="H8" s="89" t="s">
        <v>65</v>
      </c>
      <c r="I8" s="89"/>
      <c r="K8" s="9" t="s">
        <v>14</v>
      </c>
      <c r="L8" s="95">
        <v>6.6260689999999993E-27</v>
      </c>
    </row>
    <row r="9" spans="1:14" ht="16.2" thickBot="1" x14ac:dyDescent="0.4">
      <c r="A9" s="9" t="s">
        <v>18</v>
      </c>
      <c r="B9" s="60">
        <f>$B$7/($B$4*0.00000000000000001)</f>
        <v>113.153916794808</v>
      </c>
      <c r="C9" s="72">
        <f>($C$8/($B$4*$B$10))*100000000000000000</f>
        <v>342.89065695396368</v>
      </c>
      <c r="D9" s="73">
        <v>6.8</v>
      </c>
      <c r="F9" s="9" t="s">
        <v>25</v>
      </c>
      <c r="G9" s="69">
        <f>G5/B5</f>
        <v>0.48785718857357885</v>
      </c>
      <c r="H9" s="109">
        <f>SQRT($B$19*$B$20)/5</f>
        <v>7.2817311218065839E-2</v>
      </c>
      <c r="I9" s="22"/>
      <c r="K9" s="98" t="s">
        <v>70</v>
      </c>
      <c r="L9" s="99">
        <v>0.5292</v>
      </c>
      <c r="M9" t="s">
        <v>68</v>
      </c>
    </row>
    <row r="10" spans="1:14" ht="16.8" thickTop="1" thickBot="1" x14ac:dyDescent="0.4">
      <c r="A10" s="9" t="s">
        <v>24</v>
      </c>
      <c r="B10" s="59">
        <v>15</v>
      </c>
      <c r="C10" s="52"/>
      <c r="D10" s="19"/>
      <c r="F10" s="86" t="s">
        <v>52</v>
      </c>
      <c r="G10" s="85">
        <f>G2*B9</f>
        <v>93.895120156331672</v>
      </c>
      <c r="H10" s="110">
        <f>100000000000000000*SQRT(3*$L$2*$B$2/(($B$15+$B$16)*$L$3))/(5*$L$4)</f>
        <v>15.211621901827677</v>
      </c>
      <c r="I10" s="50"/>
      <c r="K10" s="37" t="s">
        <v>71</v>
      </c>
      <c r="L10" s="100">
        <v>4.3599999999999997E-11</v>
      </c>
      <c r="M10" t="s">
        <v>69</v>
      </c>
    </row>
    <row r="11" spans="1:14" ht="16.2" thickBot="1" x14ac:dyDescent="0.4">
      <c r="A11" s="9" t="s">
        <v>26</v>
      </c>
      <c r="B11" s="59">
        <v>5.0000000000000001E-3</v>
      </c>
      <c r="C11" s="52"/>
      <c r="D11" s="19"/>
      <c r="F11" s="9" t="s">
        <v>73</v>
      </c>
      <c r="G11" s="84">
        <f>fc!E7</f>
        <v>0.88018157400430919</v>
      </c>
      <c r="H11" s="89" t="s">
        <v>65</v>
      </c>
      <c r="I11" s="89" t="s">
        <v>66</v>
      </c>
      <c r="K11" s="17"/>
      <c r="L11" s="54"/>
    </row>
    <row r="12" spans="1:14" ht="16.8" thickBot="1" x14ac:dyDescent="0.4">
      <c r="A12" s="9" t="s">
        <v>28</v>
      </c>
      <c r="B12" s="39">
        <v>2.5</v>
      </c>
      <c r="C12" s="19"/>
      <c r="D12" s="19"/>
      <c r="F12" s="18" t="s">
        <v>57</v>
      </c>
      <c r="G12" s="23">
        <f>2*(1+B19*G11+(1-G11)*B20)/3</f>
        <v>1.1737159252004707</v>
      </c>
      <c r="H12" s="111">
        <v>1</v>
      </c>
      <c r="I12" s="112">
        <f>2*(1+$B$19)/3</f>
        <v>1.2284644194756555</v>
      </c>
      <c r="K12" s="10" t="s">
        <v>79</v>
      </c>
      <c r="L12" s="26">
        <f>B4*G14*G16*0.00000000000001</f>
        <v>691220268.55235517</v>
      </c>
    </row>
    <row r="13" spans="1:14" ht="16.2" thickBot="1" x14ac:dyDescent="0.4">
      <c r="A13" s="9" t="s">
        <v>27</v>
      </c>
      <c r="B13" s="12">
        <f>SQRT(LN(2)*16*L2*B2*0.0000001/(L5*B17*B8))*G3</f>
        <v>3.4934804233312648E-3</v>
      </c>
      <c r="C13" s="52"/>
      <c r="D13" s="19"/>
      <c r="F13" s="18" t="s">
        <v>53</v>
      </c>
      <c r="G13" s="23">
        <f>SQRT(2/B19/(1+B19))</f>
        <v>1.1348865492527422</v>
      </c>
      <c r="H13" s="22"/>
      <c r="I13" s="22"/>
      <c r="J13" s="22"/>
      <c r="K13" s="10" t="s">
        <v>80</v>
      </c>
      <c r="L13" s="26">
        <f>L12*G3/1000</f>
        <v>410992.79744380899</v>
      </c>
    </row>
    <row r="14" spans="1:14" ht="18" thickTop="1" thickBot="1" x14ac:dyDescent="0.4">
      <c r="A14" s="1" t="s">
        <v>48</v>
      </c>
      <c r="B14" s="2" t="s">
        <v>0</v>
      </c>
      <c r="F14" s="9" t="s">
        <v>78</v>
      </c>
      <c r="G14" s="101">
        <f>SQRT(($G$13*$G$5)^2+$B$5^2)</f>
        <v>591.07491684230092</v>
      </c>
      <c r="H14" s="28"/>
      <c r="I14" s="28"/>
      <c r="K14" s="25" t="s">
        <v>82</v>
      </c>
      <c r="L14" s="26">
        <f>$L$8/($B$15*$L$3*$G$14)</f>
        <v>4.5006276622089665E-8</v>
      </c>
    </row>
    <row r="15" spans="1:14" ht="16.2" thickBot="1" x14ac:dyDescent="0.4">
      <c r="A15" s="9" t="s">
        <v>31</v>
      </c>
      <c r="B15" s="102">
        <v>150</v>
      </c>
      <c r="F15" s="9" t="s">
        <v>54</v>
      </c>
      <c r="G15" s="49">
        <f>1/SQRT(1+(G13*G9/G12)^2)</f>
        <v>0.90442476177843378</v>
      </c>
      <c r="K15" s="29" t="s">
        <v>56</v>
      </c>
      <c r="L15" s="30">
        <f>(($B$12^2)/(4*$G$7))*1000</f>
        <v>1326.5941682311409</v>
      </c>
    </row>
    <row r="16" spans="1:14" ht="17.399999999999999" thickBot="1" x14ac:dyDescent="0.4">
      <c r="A16" s="9" t="s">
        <v>32</v>
      </c>
      <c r="B16" s="97">
        <v>28</v>
      </c>
      <c r="F16" s="87" t="s">
        <v>58</v>
      </c>
      <c r="G16" s="88">
        <f>G4*G15</f>
        <v>240.59180848005508</v>
      </c>
      <c r="H16" s="117">
        <f>(G4-G16)/G16</f>
        <v>0.10567516753259816</v>
      </c>
      <c r="K16" s="25" t="s">
        <v>81</v>
      </c>
      <c r="L16" s="28">
        <f>0.173*$B$10/SQRT($B$7*$B$10)</f>
        <v>2.8570009705029056E-2</v>
      </c>
      <c r="M16" s="22">
        <f>L16/2.54</f>
        <v>1.1248035316940573E-2</v>
      </c>
      <c r="N16" t="s">
        <v>83</v>
      </c>
    </row>
    <row r="17" spans="1:13" ht="16.2" thickBot="1" x14ac:dyDescent="0.4">
      <c r="A17" s="9" t="s">
        <v>37</v>
      </c>
      <c r="B17" s="78">
        <v>1</v>
      </c>
      <c r="F17" s="9" t="s">
        <v>43</v>
      </c>
      <c r="G17" s="82">
        <f>$B$2*(1+8*$G$9^2/3/PI()/$B$19)</f>
        <v>369.44128940701302</v>
      </c>
      <c r="H17" s="28"/>
    </row>
    <row r="18" spans="1:13" ht="18" thickTop="1" thickBot="1" x14ac:dyDescent="0.4">
      <c r="A18" s="31" t="s">
        <v>33</v>
      </c>
      <c r="B18" s="16">
        <f>B16*B15/(B16+B15)</f>
        <v>23.59550561797753</v>
      </c>
      <c r="F18" s="18" t="s">
        <v>55</v>
      </c>
      <c r="G18" s="49">
        <f>(1+8*G9^2/3/PI()/B19)^-0.5</f>
        <v>0.89812216868191352</v>
      </c>
      <c r="H18" s="53"/>
      <c r="K18" s="115" t="s">
        <v>77</v>
      </c>
      <c r="L18" s="105" t="s">
        <v>29</v>
      </c>
      <c r="M18" s="106" t="s">
        <v>30</v>
      </c>
    </row>
    <row r="19" spans="1:13" ht="17.399999999999999" thickTop="1" x14ac:dyDescent="0.35">
      <c r="A19" s="9"/>
      <c r="B19" s="61">
        <f>B15/(B16+B15)</f>
        <v>0.84269662921348309</v>
      </c>
      <c r="F19" s="87" t="s">
        <v>62</v>
      </c>
      <c r="G19" s="88">
        <f>G4*G18</f>
        <v>238.91521542855125</v>
      </c>
      <c r="H19" s="28"/>
      <c r="K19" s="107" t="s">
        <v>74</v>
      </c>
      <c r="L19" s="54">
        <f>B15*L3/(2*L2*B2)</f>
        <v>3.0269864865226158E-9</v>
      </c>
      <c r="M19" s="103">
        <f>SQRT(B15*L3/(2*PI()*L2*B2))</f>
        <v>3.1040614104828635E-5</v>
      </c>
    </row>
    <row r="20" spans="1:13" ht="16.2" thickBot="1" x14ac:dyDescent="0.4">
      <c r="A20" s="9"/>
      <c r="B20" s="61">
        <f>B16/(B16+B15)</f>
        <v>0.15730337078651685</v>
      </c>
      <c r="F20" s="18" t="s">
        <v>59</v>
      </c>
      <c r="G20" s="90">
        <f>(-12*B19^3-16*B19^2+13*B19)/(24*B19^3+32*B19^2+4*B19+15)</f>
        <v>-0.13683107164740177</v>
      </c>
      <c r="K20" s="107" t="s">
        <v>75</v>
      </c>
      <c r="L20" s="54">
        <f>B16*L3/(2*L2*B2)</f>
        <v>5.6503747748422166E-10</v>
      </c>
      <c r="M20" s="103">
        <f>SQRT(B16*L3/(2*PI()*L2*B2))</f>
        <v>1.3411078075515734E-5</v>
      </c>
    </row>
    <row r="21" spans="1:13" ht="16.8" thickTop="1" thickBot="1" x14ac:dyDescent="0.4">
      <c r="A21" s="116"/>
      <c r="B21" s="83"/>
      <c r="F21" s="18" t="s">
        <v>60</v>
      </c>
      <c r="G21" s="90">
        <f>(-3*B19^2+3*B19)/(6*B19^2-6*B19+5)</f>
        <v>9.4580393334334198E-2</v>
      </c>
      <c r="H21" s="89" t="s">
        <v>65</v>
      </c>
      <c r="I21" s="89" t="s">
        <v>66</v>
      </c>
      <c r="K21" s="108" t="s">
        <v>76</v>
      </c>
      <c r="L21" s="104">
        <f>B18*L3/(2*L2*B2)</f>
        <v>4.7615517765524299E-10</v>
      </c>
      <c r="M21" s="100">
        <f>SQRT(B18*L3/(2*PI()*L2*B2))</f>
        <v>1.2311169741550274E-5</v>
      </c>
    </row>
    <row r="22" spans="1:13" ht="16.8" thickTop="1" thickBot="1" x14ac:dyDescent="0.4">
      <c r="A22" s="24"/>
      <c r="B22" s="11"/>
      <c r="F22" s="9" t="s">
        <v>61</v>
      </c>
      <c r="G22" s="92">
        <v>0</v>
      </c>
      <c r="H22" s="113">
        <v>0</v>
      </c>
      <c r="I22" s="114">
        <v>-0.5</v>
      </c>
    </row>
    <row r="23" spans="1:13" ht="15.6" x14ac:dyDescent="0.35">
      <c r="A23" s="17"/>
      <c r="B23" s="17"/>
      <c r="C23" s="17"/>
      <c r="F23" s="18" t="s">
        <v>64</v>
      </c>
      <c r="G23" s="93">
        <f>(1+8*(1+G21*G22)*G9^2/3*PI()/B19)^-0.5*(1+G20*G22)</f>
        <v>0.54505033265228264</v>
      </c>
    </row>
    <row r="24" spans="1:13" ht="17.399999999999999" thickBot="1" x14ac:dyDescent="0.4">
      <c r="F24" s="18" t="s">
        <v>63</v>
      </c>
      <c r="G24" s="91">
        <f>G4*G23</f>
        <v>144.99232085111097</v>
      </c>
    </row>
    <row r="25" spans="1:13" ht="15.6" thickTop="1" thickBot="1" x14ac:dyDescent="0.35">
      <c r="F25" s="32" t="s">
        <v>34</v>
      </c>
      <c r="G25" s="2" t="s">
        <v>0</v>
      </c>
    </row>
    <row r="26" spans="1:13" ht="16.2" thickBot="1" x14ac:dyDescent="0.4">
      <c r="B26" s="22"/>
      <c r="C26" s="22"/>
      <c r="E26" s="17"/>
      <c r="F26" s="33" t="s">
        <v>35</v>
      </c>
      <c r="G26" s="39">
        <v>0.4</v>
      </c>
      <c r="K26" s="17"/>
    </row>
    <row r="27" spans="1:13" x14ac:dyDescent="0.3">
      <c r="A27" s="56"/>
      <c r="B27" s="26"/>
      <c r="C27" s="26"/>
      <c r="F27" s="34" t="s">
        <v>36</v>
      </c>
      <c r="G27" s="35">
        <f>G3/G26</f>
        <v>1.4864754989916757</v>
      </c>
    </row>
    <row r="28" spans="1:13" ht="15.6" x14ac:dyDescent="0.35">
      <c r="F28" s="34" t="s">
        <v>38</v>
      </c>
      <c r="G28" s="12">
        <f>SQRT(B11^2+B13^2)</f>
        <v>6.0995414145818203E-3</v>
      </c>
    </row>
    <row r="29" spans="1:13" ht="15.6" x14ac:dyDescent="0.35">
      <c r="F29" s="34" t="s">
        <v>41</v>
      </c>
      <c r="G29" s="35">
        <f>G3/G28</f>
        <v>97.481131642981879</v>
      </c>
    </row>
    <row r="30" spans="1:13" x14ac:dyDescent="0.3">
      <c r="F30" s="9" t="s">
        <v>42</v>
      </c>
      <c r="G30" s="12">
        <f>G27/G29</f>
        <v>1.5248853536454551E-2</v>
      </c>
    </row>
    <row r="31" spans="1:13" ht="16.2" thickBot="1" x14ac:dyDescent="0.4">
      <c r="F31" s="37" t="s">
        <v>40</v>
      </c>
      <c r="G31" s="38">
        <f>0.0395*((B10^4*B3^2/((B11/1000)^2*G2^2*B2))^0.3333333333)</f>
        <v>5153.2186354203041</v>
      </c>
    </row>
    <row r="32" spans="1:13" ht="15" thickTop="1" x14ac:dyDescent="0.3"/>
    <row r="34" spans="6:7" x14ac:dyDescent="0.3">
      <c r="F34" s="64"/>
      <c r="G34" s="40"/>
    </row>
  </sheetData>
  <protectedRanges>
    <protectedRange sqref="B2:B3 B7 D9 C8 B10:B12 B15:B17 H3 G2 I4 G11 G26" name="Range1"/>
    <protectedRange sqref="G22" name="Range2"/>
  </protectedRanges>
  <pageMargins left="0.7" right="0.7" top="0.75" bottom="0.75" header="0.3" footer="0.3"/>
  <pageSetup orientation="portrait" horizontalDpi="4294967295" verticalDpi="429496729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502"/>
  <sheetViews>
    <sheetView workbookViewId="0">
      <selection activeCell="B2" sqref="B2"/>
    </sheetView>
  </sheetViews>
  <sheetFormatPr defaultColWidth="8.77734375" defaultRowHeight="14.4" x14ac:dyDescent="0.3"/>
  <cols>
    <col min="2" max="2" width="10" customWidth="1"/>
    <col min="4" max="4" width="9" customWidth="1"/>
    <col min="5" max="5" width="9.77734375" customWidth="1"/>
    <col min="6" max="6" width="9.44140625" style="28" customWidth="1"/>
    <col min="9" max="9" width="8.77734375" style="28"/>
  </cols>
  <sheetData>
    <row r="1" spans="1:12" s="27" customFormat="1" ht="15.6" x14ac:dyDescent="0.35">
      <c r="A1" s="44" t="s">
        <v>45</v>
      </c>
      <c r="B1" s="46" t="s">
        <v>44</v>
      </c>
      <c r="D1" s="118" t="s">
        <v>49</v>
      </c>
      <c r="E1" s="119"/>
      <c r="F1" s="41"/>
      <c r="I1" s="41"/>
      <c r="K1" s="44" t="s">
        <v>45</v>
      </c>
      <c r="L1" s="46" t="s">
        <v>44</v>
      </c>
    </row>
    <row r="2" spans="1:12" ht="16.2" x14ac:dyDescent="0.35">
      <c r="A2" s="45">
        <v>0</v>
      </c>
      <c r="B2" s="47">
        <v>0.5</v>
      </c>
      <c r="D2" s="44" t="s">
        <v>46</v>
      </c>
      <c r="E2" s="48" t="s">
        <v>47</v>
      </c>
      <c r="K2" s="28">
        <v>0</v>
      </c>
      <c r="L2" s="40">
        <f>cubic_Spline($A$2:$A$152,$B$2:$B$152,K2)</f>
        <v>0.5</v>
      </c>
    </row>
    <row r="3" spans="1:12" x14ac:dyDescent="0.3">
      <c r="A3" s="45">
        <v>0.01</v>
      </c>
      <c r="B3" s="47">
        <v>0.5115237663202824</v>
      </c>
      <c r="D3" s="45">
        <f>_xlfn.FLOOR.MATH(D6*100)/100</f>
        <v>0.48</v>
      </c>
      <c r="E3" s="66">
        <v>0.51152376632028207</v>
      </c>
      <c r="G3" s="28"/>
      <c r="H3" s="28"/>
      <c r="K3" s="28">
        <v>1E-3</v>
      </c>
      <c r="L3" s="40">
        <f t="shared" ref="L3:L66" si="0">cubic_Spline($A$2:$A$152,$B$2:$B$152,K3)</f>
        <v>0.50119235395882389</v>
      </c>
    </row>
    <row r="4" spans="1:12" x14ac:dyDescent="0.3">
      <c r="A4" s="45">
        <v>0.02</v>
      </c>
      <c r="B4" s="47">
        <v>0.52153710270638953</v>
      </c>
      <c r="D4" s="45">
        <f>_xlfn.FLOOR.MATH(1+D6*100)/100</f>
        <v>0.49</v>
      </c>
      <c r="E4" s="66">
        <v>0.52153709948575322</v>
      </c>
      <c r="G4" s="28"/>
      <c r="H4" s="28"/>
      <c r="K4" s="28">
        <v>2E-3</v>
      </c>
      <c r="L4" s="40">
        <f t="shared" si="0"/>
        <v>0.50238231430072666</v>
      </c>
    </row>
    <row r="5" spans="1:12" x14ac:dyDescent="0.3">
      <c r="A5" s="45">
        <v>0.03</v>
      </c>
      <c r="B5" s="47">
        <v>0.53153445490156936</v>
      </c>
      <c r="D5" s="22"/>
      <c r="E5" s="22"/>
      <c r="G5" s="28"/>
      <c r="H5" s="28"/>
      <c r="K5" s="28">
        <v>3.0000000000000001E-3</v>
      </c>
      <c r="L5" s="40">
        <f t="shared" si="0"/>
        <v>0.50356739800181982</v>
      </c>
    </row>
    <row r="6" spans="1:12" x14ac:dyDescent="0.3">
      <c r="A6" s="45">
        <v>0.04</v>
      </c>
      <c r="B6" s="47">
        <v>0.54150822029753864</v>
      </c>
      <c r="D6" s="65">
        <f>MobilityCalculator!G9</f>
        <v>0.48785718857357885</v>
      </c>
      <c r="E6" s="62">
        <f>E3+(E4-E3)*(D6-D3)/(D4-D3)</f>
        <v>0.51939143101339991</v>
      </c>
      <c r="G6" s="28"/>
      <c r="H6" s="28"/>
      <c r="K6" s="28">
        <v>4.0000000000000001E-3</v>
      </c>
      <c r="L6" s="40">
        <f t="shared" si="0"/>
        <v>0.50474521144518203</v>
      </c>
    </row>
    <row r="7" spans="1:12" x14ac:dyDescent="0.3">
      <c r="A7" s="22">
        <v>0.05</v>
      </c>
      <c r="B7" s="40">
        <v>0.55145086569959267</v>
      </c>
      <c r="D7" s="67">
        <f>MobilityCalculator!G9</f>
        <v>0.48785718857357885</v>
      </c>
      <c r="E7" s="40">
        <f>cubic_Spline($A$2:$A$152,$B$2:$B$152,D7)</f>
        <v>0.88018157400430919</v>
      </c>
      <c r="G7" s="28"/>
      <c r="H7" s="28"/>
      <c r="K7" s="28">
        <v>5.0000000000000001E-3</v>
      </c>
      <c r="L7" s="40">
        <f t="shared" si="0"/>
        <v>0.50591336101389206</v>
      </c>
    </row>
    <row r="8" spans="1:12" x14ac:dyDescent="0.3">
      <c r="A8" s="22">
        <v>0.06</v>
      </c>
      <c r="B8" s="40">
        <v>0.56135494927651963</v>
      </c>
      <c r="D8" s="28"/>
      <c r="E8" s="28"/>
      <c r="G8" s="28"/>
      <c r="H8" s="28"/>
      <c r="K8" s="28">
        <v>6.0000000000000001E-3</v>
      </c>
      <c r="L8" s="40">
        <f t="shared" si="0"/>
        <v>0.50706936368406175</v>
      </c>
    </row>
    <row r="9" spans="1:12" x14ac:dyDescent="0.3">
      <c r="A9" s="22">
        <v>7.0000000000000007E-2</v>
      </c>
      <c r="B9" s="40">
        <v>0.57121314194572714</v>
      </c>
      <c r="D9" s="28"/>
      <c r="E9" s="28"/>
      <c r="G9" s="28"/>
      <c r="H9" s="28"/>
      <c r="K9" s="28">
        <v>7.0000000000000001E-3</v>
      </c>
      <c r="L9" s="40">
        <f t="shared" si="0"/>
        <v>0.50821084073993084</v>
      </c>
    </row>
    <row r="10" spans="1:12" x14ac:dyDescent="0.3">
      <c r="A10" s="22">
        <v>0.08</v>
      </c>
      <c r="B10" s="40">
        <v>0.58101824806586533</v>
      </c>
      <c r="D10" s="28"/>
      <c r="E10" s="28"/>
      <c r="G10" s="28"/>
      <c r="H10" s="28"/>
      <c r="K10" s="28">
        <v>8.0000000000000002E-3</v>
      </c>
      <c r="L10" s="40">
        <f t="shared" si="0"/>
        <v>0.50933535386109463</v>
      </c>
    </row>
    <row r="11" spans="1:12" x14ac:dyDescent="0.3">
      <c r="A11" s="22">
        <v>0.09</v>
      </c>
      <c r="B11" s="40">
        <v>0.59076322531648473</v>
      </c>
      <c r="D11" s="28"/>
      <c r="E11" s="28"/>
      <c r="G11" s="28"/>
      <c r="H11" s="28"/>
      <c r="K11" s="28">
        <v>9.0000000000000011E-3</v>
      </c>
      <c r="L11" s="40">
        <f t="shared" si="0"/>
        <v>0.51044047217772892</v>
      </c>
    </row>
    <row r="12" spans="1:12" x14ac:dyDescent="0.3">
      <c r="A12" s="22">
        <v>0.1</v>
      </c>
      <c r="B12" s="40">
        <v>0.60044120365267495</v>
      </c>
      <c r="D12" s="28"/>
      <c r="E12" s="28"/>
      <c r="G12" s="28"/>
      <c r="H12" s="28"/>
      <c r="K12" s="28">
        <v>0.01</v>
      </c>
      <c r="L12" s="40">
        <f t="shared" si="0"/>
        <v>0.51152379486185229</v>
      </c>
    </row>
    <row r="13" spans="1:12" x14ac:dyDescent="0.3">
      <c r="A13" s="22">
        <v>0.11</v>
      </c>
      <c r="B13" s="40">
        <v>0.61004550323209827</v>
      </c>
      <c r="D13" s="28"/>
      <c r="E13" s="28"/>
      <c r="G13" s="28"/>
      <c r="H13" s="28"/>
      <c r="K13" s="28">
        <v>1.0999999999999999E-2</v>
      </c>
      <c r="L13" s="40">
        <f t="shared" si="0"/>
        <v>0.51258378569599561</v>
      </c>
    </row>
    <row r="14" spans="1:12" x14ac:dyDescent="0.3">
      <c r="A14" s="22">
        <v>0.12</v>
      </c>
      <c r="B14" s="40">
        <v>0.61956965122217722</v>
      </c>
      <c r="D14" s="28"/>
      <c r="E14" s="28"/>
      <c r="G14" s="28"/>
      <c r="H14" s="28"/>
      <c r="K14" s="28">
        <v>1.2E-2</v>
      </c>
      <c r="L14" s="40">
        <f t="shared" si="0"/>
        <v>0.51362256697550046</v>
      </c>
    </row>
    <row r="15" spans="1:12" x14ac:dyDescent="0.3">
      <c r="A15" s="22">
        <v>0.13</v>
      </c>
      <c r="B15" s="40">
        <v>0.6290073974062852</v>
      </c>
      <c r="D15" s="28"/>
      <c r="E15" s="28"/>
      <c r="G15" s="28"/>
      <c r="H15" s="28"/>
      <c r="K15" s="28">
        <v>1.3000000000000001E-2</v>
      </c>
      <c r="L15" s="40">
        <f t="shared" si="0"/>
        <v>0.51464328254592917</v>
      </c>
    </row>
    <row r="16" spans="1:12" x14ac:dyDescent="0.3">
      <c r="A16" s="22">
        <v>0.14000000000000001</v>
      </c>
      <c r="B16" s="40">
        <v>0.63835272851944624</v>
      </c>
      <c r="D16" s="28"/>
      <c r="E16" s="28"/>
      <c r="G16" s="28"/>
      <c r="H16" s="28"/>
      <c r="K16" s="28">
        <v>1.4E-2</v>
      </c>
      <c r="L16" s="40">
        <f t="shared" si="0"/>
        <v>0.51564886767992091</v>
      </c>
    </row>
    <row r="17" spans="1:12" x14ac:dyDescent="0.3">
      <c r="A17" s="22">
        <v>0.15</v>
      </c>
      <c r="B17" s="40">
        <v>0.64759988125611456</v>
      </c>
      <c r="D17" s="28"/>
      <c r="E17" s="28"/>
      <c r="G17" s="28"/>
      <c r="H17" s="28"/>
      <c r="K17" s="28">
        <v>1.4999999999999999E-2</v>
      </c>
      <c r="L17" s="40">
        <f t="shared" si="0"/>
        <v>0.5166424662152137</v>
      </c>
    </row>
    <row r="18" spans="1:12" x14ac:dyDescent="0.3">
      <c r="A18" s="22">
        <v>0.16</v>
      </c>
      <c r="B18" s="40">
        <v>0.65674335390490035</v>
      </c>
      <c r="D18" s="28"/>
      <c r="E18" s="28"/>
      <c r="G18" s="28"/>
      <c r="H18" s="28"/>
      <c r="K18" s="28">
        <v>1.6E-2</v>
      </c>
      <c r="L18" s="40">
        <f t="shared" si="0"/>
        <v>0.51762711770404723</v>
      </c>
    </row>
    <row r="19" spans="1:12" x14ac:dyDescent="0.3">
      <c r="A19" s="22">
        <v>0.17</v>
      </c>
      <c r="B19" s="40">
        <v>0.6657779165774792</v>
      </c>
      <c r="D19" s="28"/>
      <c r="E19" s="28"/>
      <c r="G19" s="28"/>
      <c r="H19" s="28"/>
      <c r="K19" s="28">
        <v>1.7000000000000001E-2</v>
      </c>
      <c r="L19" s="40">
        <f t="shared" si="0"/>
        <v>0.51860583188189391</v>
      </c>
    </row>
    <row r="20" spans="1:12" x14ac:dyDescent="0.3">
      <c r="A20" s="22">
        <v>0.18</v>
      </c>
      <c r="B20" s="40">
        <v>0.67469862001118541</v>
      </c>
      <c r="D20" s="28"/>
      <c r="E20" s="28"/>
      <c r="G20" s="28"/>
      <c r="H20" s="28"/>
      <c r="K20" s="28">
        <v>1.8000000000000002E-2</v>
      </c>
      <c r="L20" s="40">
        <f t="shared" si="0"/>
        <v>0.51958171536632958</v>
      </c>
    </row>
    <row r="21" spans="1:12" x14ac:dyDescent="0.3">
      <c r="A21" s="22">
        <v>0.19</v>
      </c>
      <c r="B21" s="40">
        <v>0.6835008029368268</v>
      </c>
      <c r="D21" s="28"/>
      <c r="E21" s="28"/>
      <c r="G21" s="28"/>
      <c r="H21" s="28"/>
      <c r="K21" s="28">
        <v>1.9E-2</v>
      </c>
      <c r="L21" s="40">
        <f t="shared" si="0"/>
        <v>0.52055779279359693</v>
      </c>
    </row>
    <row r="22" spans="1:12" x14ac:dyDescent="0.3">
      <c r="A22" s="22">
        <v>0.2</v>
      </c>
      <c r="B22" s="55">
        <v>0.692180098014885</v>
      </c>
      <c r="D22" s="28"/>
      <c r="E22" s="28"/>
      <c r="G22" s="28"/>
      <c r="H22" s="28"/>
      <c r="K22" s="28">
        <v>0.02</v>
      </c>
      <c r="L22" s="40">
        <f t="shared" si="0"/>
        <v>0.52153708925635245</v>
      </c>
    </row>
    <row r="23" spans="1:12" x14ac:dyDescent="0.3">
      <c r="A23" s="22">
        <v>0.21</v>
      </c>
      <c r="B23" s="40">
        <v>0.7007324363544003</v>
      </c>
      <c r="D23" s="28"/>
      <c r="E23" s="28"/>
      <c r="G23" s="28"/>
      <c r="H23" s="28"/>
      <c r="K23" s="28">
        <v>2.1000000000000001E-2</v>
      </c>
      <c r="L23" s="40">
        <f t="shared" si="0"/>
        <v>0.52252212154788602</v>
      </c>
    </row>
    <row r="24" spans="1:12" x14ac:dyDescent="0.3">
      <c r="A24" s="22">
        <v>0.22</v>
      </c>
      <c r="B24" s="40">
        <v>0.70915405063931258</v>
      </c>
      <c r="D24" s="28"/>
      <c r="E24" s="28"/>
      <c r="G24" s="28"/>
      <c r="H24" s="28"/>
      <c r="K24" s="28">
        <v>2.1999999999999999E-2</v>
      </c>
      <c r="L24" s="40">
        <f t="shared" si="0"/>
        <v>0.52351260638944663</v>
      </c>
    </row>
    <row r="25" spans="1:12" x14ac:dyDescent="0.3">
      <c r="A25" s="22">
        <v>0.23</v>
      </c>
      <c r="B25" s="40">
        <v>0.71744147689679683</v>
      </c>
      <c r="D25" s="28"/>
      <c r="E25" s="28"/>
      <c r="G25" s="28"/>
      <c r="H25" s="28"/>
      <c r="K25" s="28">
        <v>2.3E-2</v>
      </c>
      <c r="L25" s="40">
        <f t="shared" si="0"/>
        <v>0.52450771586500677</v>
      </c>
    </row>
    <row r="26" spans="1:12" x14ac:dyDescent="0.3">
      <c r="A26" s="22">
        <v>0.24</v>
      </c>
      <c r="B26" s="40">
        <v>0.72559155495107197</v>
      </c>
      <c r="D26" s="28"/>
      <c r="E26" s="28"/>
      <c r="G26" s="28"/>
      <c r="H26" s="28"/>
      <c r="K26" s="28">
        <v>2.4E-2</v>
      </c>
      <c r="L26" s="40">
        <f t="shared" si="0"/>
        <v>0.5255067114534695</v>
      </c>
    </row>
    <row r="27" spans="1:12" x14ac:dyDescent="0.3">
      <c r="A27" s="22">
        <v>0.25</v>
      </c>
      <c r="B27" s="40">
        <v>0.73360142761421709</v>
      </c>
      <c r="D27" s="28"/>
      <c r="E27" s="28"/>
      <c r="G27" s="28"/>
      <c r="H27" s="28"/>
      <c r="K27" s="28">
        <v>2.5000000000000001E-2</v>
      </c>
      <c r="L27" s="40">
        <f t="shared" si="0"/>
        <v>0.52650864601390834</v>
      </c>
    </row>
    <row r="28" spans="1:12" x14ac:dyDescent="0.3">
      <c r="A28" s="22">
        <v>0.26</v>
      </c>
      <c r="B28" s="40">
        <v>0.74146853867267748</v>
      </c>
      <c r="D28" s="28"/>
      <c r="E28" s="28"/>
      <c r="G28" s="28"/>
      <c r="H28" s="28"/>
      <c r="K28" s="28">
        <v>2.6000000000000002E-2</v>
      </c>
      <c r="L28" s="40">
        <f t="shared" si="0"/>
        <v>0.52751278102604138</v>
      </c>
    </row>
    <row r="29" spans="1:12" x14ac:dyDescent="0.3">
      <c r="A29" s="22">
        <v>0.27</v>
      </c>
      <c r="B29" s="40">
        <v>0.74919062973430683</v>
      </c>
      <c r="D29" s="28"/>
      <c r="E29" s="28"/>
      <c r="G29" s="28"/>
      <c r="H29" s="28"/>
      <c r="K29" s="28">
        <v>2.7E-2</v>
      </c>
      <c r="L29" s="40">
        <f t="shared" si="0"/>
        <v>0.52851825875929459</v>
      </c>
    </row>
    <row r="30" spans="1:12" x14ac:dyDescent="0.3">
      <c r="A30" s="22">
        <v>0.28000000000000003</v>
      </c>
      <c r="B30" s="40">
        <v>0.75676573600599417</v>
      </c>
      <c r="D30" s="28"/>
      <c r="E30" s="28"/>
      <c r="G30" s="28"/>
      <c r="H30" s="28"/>
      <c r="K30" s="28">
        <v>2.8000000000000001E-2</v>
      </c>
      <c r="L30" s="40">
        <f t="shared" si="0"/>
        <v>0.52952423638588464</v>
      </c>
    </row>
    <row r="31" spans="1:12" x14ac:dyDescent="0.3">
      <c r="A31" s="22">
        <v>0.28999999999999998</v>
      </c>
      <c r="B31" s="40">
        <v>0.76419218107616382</v>
      </c>
      <c r="D31" s="28"/>
      <c r="E31" s="28"/>
      <c r="G31" s="28"/>
      <c r="H31" s="28"/>
      <c r="K31" s="28">
        <v>2.9000000000000001E-2</v>
      </c>
      <c r="L31" s="40">
        <f t="shared" si="0"/>
        <v>0.53052990087787477</v>
      </c>
    </row>
    <row r="32" spans="1:12" x14ac:dyDescent="0.3">
      <c r="A32" s="22">
        <v>0.3</v>
      </c>
      <c r="B32" s="40">
        <v>0.77146857077968023</v>
      </c>
      <c r="D32" s="28"/>
      <c r="E32" s="28"/>
      <c r="G32" s="28"/>
      <c r="H32" s="28"/>
      <c r="K32" s="28">
        <v>0.03</v>
      </c>
      <c r="L32" s="40">
        <f t="shared" si="0"/>
        <v>0.53153441007491942</v>
      </c>
    </row>
    <row r="33" spans="1:12" x14ac:dyDescent="0.3">
      <c r="A33" s="22">
        <v>0.31</v>
      </c>
      <c r="B33" s="40">
        <v>0.77859378622504827</v>
      </c>
      <c r="D33" s="28"/>
      <c r="E33" s="28"/>
      <c r="G33" s="28"/>
      <c r="H33" s="28"/>
      <c r="K33" s="28">
        <v>3.1E-2</v>
      </c>
      <c r="L33" s="40">
        <f t="shared" si="0"/>
        <v>0.53253716471362611</v>
      </c>
    </row>
    <row r="34" spans="1:12" x14ac:dyDescent="0.3">
      <c r="A34" s="22">
        <v>0.32</v>
      </c>
      <c r="B34" s="40">
        <v>0.78556697606521741</v>
      </c>
      <c r="D34" s="28"/>
      <c r="E34" s="28"/>
      <c r="G34" s="28"/>
      <c r="H34" s="28"/>
      <c r="K34" s="28">
        <v>3.2000000000000001E-2</v>
      </c>
      <c r="L34" s="40">
        <f t="shared" si="0"/>
        <v>0.5335381625625486</v>
      </c>
    </row>
    <row r="35" spans="1:12" x14ac:dyDescent="0.3">
      <c r="A35" s="22">
        <v>0.33</v>
      </c>
      <c r="B35" s="40">
        <v>0.79238754809389911</v>
      </c>
      <c r="D35" s="28"/>
      <c r="E35" s="28"/>
      <c r="G35" s="28"/>
      <c r="H35" s="28"/>
      <c r="K35" s="28">
        <v>3.3000000000000002E-2</v>
      </c>
      <c r="L35" s="40">
        <f t="shared" si="0"/>
        <v>0.53453758602714618</v>
      </c>
    </row>
    <row r="36" spans="1:12" x14ac:dyDescent="0.3">
      <c r="A36" s="22">
        <v>0.34</v>
      </c>
      <c r="B36" s="40">
        <v>0.79905516024910972</v>
      </c>
      <c r="D36" s="28"/>
      <c r="E36" s="28"/>
      <c r="G36" s="28"/>
      <c r="H36" s="28"/>
      <c r="K36" s="28">
        <v>3.4000000000000002E-2</v>
      </c>
      <c r="L36" s="40">
        <f t="shared" si="0"/>
        <v>0.53553567711024708</v>
      </c>
    </row>
    <row r="37" spans="1:12" x14ac:dyDescent="0.3">
      <c r="A37" s="22">
        <v>0.35</v>
      </c>
      <c r="B37" s="40">
        <v>0.80556971110470577</v>
      </c>
      <c r="D37" s="28"/>
      <c r="E37" s="28"/>
      <c r="G37" s="28"/>
      <c r="H37" s="28"/>
      <c r="K37" s="28">
        <v>3.5000000000000003E-2</v>
      </c>
      <c r="L37" s="40">
        <f t="shared" si="0"/>
        <v>0.53653264801539835</v>
      </c>
    </row>
    <row r="38" spans="1:12" x14ac:dyDescent="0.3">
      <c r="A38" s="22">
        <v>0.36</v>
      </c>
      <c r="B38" s="40">
        <v>0.81193132992910788</v>
      </c>
      <c r="D38" s="28"/>
      <c r="E38" s="28"/>
      <c r="G38" s="28"/>
      <c r="H38" s="28"/>
      <c r="K38" s="28">
        <v>3.6000000000000004E-2</v>
      </c>
      <c r="L38" s="40">
        <f t="shared" si="0"/>
        <v>0.53752874074850887</v>
      </c>
    </row>
    <row r="39" spans="1:12" x14ac:dyDescent="0.3">
      <c r="A39" s="22">
        <v>0.37</v>
      </c>
      <c r="B39" s="40">
        <v>0.81814036638821153</v>
      </c>
      <c r="D39" s="28"/>
      <c r="E39" s="28"/>
      <c r="G39" s="28"/>
      <c r="H39" s="28"/>
      <c r="K39" s="28">
        <v>3.6999999999999998E-2</v>
      </c>
      <c r="L39" s="40">
        <f t="shared" si="0"/>
        <v>0.53852412280922146</v>
      </c>
    </row>
    <row r="40" spans="1:12" x14ac:dyDescent="0.3">
      <c r="A40" s="22">
        <v>0.38</v>
      </c>
      <c r="B40" s="40">
        <v>0.82419737996678621</v>
      </c>
      <c r="D40" s="28"/>
      <c r="E40" s="28"/>
      <c r="G40" s="28"/>
      <c r="H40" s="28"/>
      <c r="K40" s="28">
        <v>3.7999999999999999E-2</v>
      </c>
      <c r="L40" s="40">
        <f t="shared" si="0"/>
        <v>0.53951901385081369</v>
      </c>
    </row>
    <row r="41" spans="1:12" x14ac:dyDescent="0.3">
      <c r="A41" s="22">
        <v>0.39</v>
      </c>
      <c r="B41" s="40">
        <v>0.83010312917951656</v>
      </c>
      <c r="D41" s="28"/>
      <c r="E41" s="28"/>
      <c r="G41" s="28"/>
      <c r="H41" s="28"/>
      <c r="K41" s="28">
        <v>3.9E-2</v>
      </c>
      <c r="L41" s="40">
        <f t="shared" si="0"/>
        <v>0.54051363352757209</v>
      </c>
    </row>
    <row r="42" spans="1:12" x14ac:dyDescent="0.3">
      <c r="A42" s="22">
        <v>0.4</v>
      </c>
      <c r="B42" s="40">
        <v>0.83585856063931185</v>
      </c>
      <c r="D42" s="28"/>
      <c r="E42" s="28"/>
      <c r="G42" s="28"/>
      <c r="H42" s="28"/>
      <c r="K42" s="28">
        <v>0.04</v>
      </c>
      <c r="L42" s="40">
        <f t="shared" si="0"/>
        <v>0.54150818748377505</v>
      </c>
    </row>
    <row r="43" spans="1:12" x14ac:dyDescent="0.3">
      <c r="A43" s="22">
        <v>0.41</v>
      </c>
      <c r="B43" s="40">
        <v>0.84146479804668539</v>
      </c>
      <c r="D43" s="28"/>
      <c r="E43" s="28"/>
      <c r="G43" s="28"/>
      <c r="H43" s="28"/>
      <c r="K43" s="28">
        <v>4.1000000000000002E-2</v>
      </c>
      <c r="L43" s="40">
        <f t="shared" si="0"/>
        <v>0.5425028490266528</v>
      </c>
    </row>
    <row r="44" spans="1:12" x14ac:dyDescent="0.3">
      <c r="A44" s="22">
        <v>0.42</v>
      </c>
      <c r="B44" s="40">
        <v>0.84692313115993667</v>
      </c>
      <c r="D44" s="28"/>
      <c r="E44" s="28"/>
      <c r="G44" s="28"/>
      <c r="H44" s="28"/>
      <c r="K44" s="28">
        <v>4.2000000000000003E-2</v>
      </c>
      <c r="L44" s="40">
        <f t="shared" si="0"/>
        <v>0.54349762709879812</v>
      </c>
    </row>
    <row r="45" spans="1:12" x14ac:dyDescent="0.3">
      <c r="A45" s="22">
        <v>0.43</v>
      </c>
      <c r="B45" s="40">
        <v>0.85223500480163239</v>
      </c>
      <c r="D45" s="28"/>
      <c r="E45" s="28"/>
      <c r="G45" s="28"/>
      <c r="H45" s="28"/>
      <c r="K45" s="28">
        <v>4.3000000000000003E-2</v>
      </c>
      <c r="L45" s="40">
        <f t="shared" si="0"/>
        <v>0.54449242558320965</v>
      </c>
    </row>
    <row r="46" spans="1:12" x14ac:dyDescent="0.3">
      <c r="A46" s="22">
        <v>0.44</v>
      </c>
      <c r="B46" s="40">
        <v>0.85740200795252897</v>
      </c>
      <c r="D46" s="28"/>
      <c r="E46" s="28"/>
      <c r="G46" s="28"/>
      <c r="H46" s="28"/>
      <c r="K46" s="28">
        <v>4.3999999999999997E-2</v>
      </c>
      <c r="L46" s="40">
        <f t="shared" si="0"/>
        <v>0.54548711856085486</v>
      </c>
    </row>
    <row r="47" spans="1:12" x14ac:dyDescent="0.3">
      <c r="A47" s="22">
        <v>0.45</v>
      </c>
      <c r="B47" s="40">
        <v>0.86242586297966817</v>
      </c>
      <c r="D47" s="28"/>
      <c r="E47" s="28"/>
      <c r="G47" s="28"/>
      <c r="H47" s="28"/>
      <c r="K47" s="28">
        <v>4.4999999999999998E-2</v>
      </c>
      <c r="L47" s="40">
        <f t="shared" si="0"/>
        <v>0.54648175892672368</v>
      </c>
    </row>
    <row r="48" spans="1:12" x14ac:dyDescent="0.3">
      <c r="A48" s="22">
        <v>0.46</v>
      </c>
      <c r="B48" s="40">
        <v>0.86730841504096234</v>
      </c>
      <c r="D48" s="28"/>
      <c r="E48" s="28"/>
      <c r="G48" s="28"/>
      <c r="H48" s="28"/>
      <c r="K48" s="28">
        <v>4.5999999999999999E-2</v>
      </c>
      <c r="L48" s="40">
        <f t="shared" si="0"/>
        <v>0.54747619095944144</v>
      </c>
    </row>
    <row r="49" spans="1:12" x14ac:dyDescent="0.3">
      <c r="A49" s="22">
        <v>0.47</v>
      </c>
      <c r="B49" s="40">
        <v>0.8720516217041987</v>
      </c>
      <c r="D49" s="28"/>
      <c r="E49" s="28"/>
      <c r="G49" s="28"/>
      <c r="H49" s="28"/>
      <c r="K49" s="28">
        <v>4.7E-2</v>
      </c>
      <c r="L49" s="40">
        <f t="shared" si="0"/>
        <v>0.5484703781469481</v>
      </c>
    </row>
    <row r="50" spans="1:12" x14ac:dyDescent="0.3">
      <c r="A50" s="22">
        <v>0.48</v>
      </c>
      <c r="B50" s="40">
        <v>0.87665754281409969</v>
      </c>
      <c r="D50" s="28"/>
      <c r="E50" s="28"/>
      <c r="G50" s="28"/>
      <c r="H50" s="28"/>
      <c r="K50" s="28">
        <v>4.8000000000000001E-2</v>
      </c>
      <c r="L50" s="40">
        <f t="shared" si="0"/>
        <v>0.54946427652652985</v>
      </c>
    </row>
    <row r="51" spans="1:12" x14ac:dyDescent="0.3">
      <c r="A51" s="22">
        <v>0.49</v>
      </c>
      <c r="B51" s="40">
        <v>0.88112833063687801</v>
      </c>
      <c r="D51" s="28"/>
      <c r="E51" s="28"/>
      <c r="G51" s="28"/>
      <c r="H51" s="28"/>
      <c r="K51" s="28">
        <v>4.9000000000000002E-2</v>
      </c>
      <c r="L51" s="40">
        <f t="shared" si="0"/>
        <v>0.55045778625629393</v>
      </c>
    </row>
    <row r="52" spans="1:12" x14ac:dyDescent="0.3">
      <c r="A52" s="22">
        <v>0.5</v>
      </c>
      <c r="B52" s="40">
        <v>0.88546622030768296</v>
      </c>
      <c r="D52" s="28"/>
      <c r="E52" s="28"/>
      <c r="G52" s="28"/>
      <c r="H52" s="28"/>
      <c r="K52" s="28">
        <v>0.05</v>
      </c>
      <c r="L52" s="40">
        <f t="shared" si="0"/>
        <v>0.5514508663572848</v>
      </c>
    </row>
    <row r="53" spans="1:12" x14ac:dyDescent="0.3">
      <c r="A53" s="22">
        <v>0.51</v>
      </c>
      <c r="B53" s="40">
        <v>0.88967352060245586</v>
      </c>
      <c r="D53" s="28"/>
      <c r="E53" s="28"/>
      <c r="G53" s="28"/>
      <c r="H53" s="28"/>
      <c r="K53" s="28">
        <v>5.1000000000000004E-2</v>
      </c>
      <c r="L53" s="40">
        <f t="shared" si="0"/>
        <v>0.55244341404850383</v>
      </c>
    </row>
    <row r="54" spans="1:12" x14ac:dyDescent="0.3">
      <c r="A54" s="22">
        <v>0.52</v>
      </c>
      <c r="B54" s="40">
        <v>0.89375260505202125</v>
      </c>
      <c r="D54" s="28"/>
      <c r="E54" s="28"/>
      <c r="G54" s="28"/>
      <c r="H54" s="28"/>
      <c r="K54" s="28">
        <v>5.2000000000000005E-2</v>
      </c>
      <c r="L54" s="40">
        <f t="shared" si="0"/>
        <v>0.55343546002010313</v>
      </c>
    </row>
    <row r="55" spans="1:12" x14ac:dyDescent="0.3">
      <c r="A55" s="22">
        <v>0.53</v>
      </c>
      <c r="B55" s="40">
        <v>0.89770590341275402</v>
      </c>
      <c r="D55" s="28"/>
      <c r="E55" s="28"/>
      <c r="G55" s="28"/>
      <c r="H55" s="28"/>
      <c r="K55" s="28">
        <v>5.2999999999999999E-2</v>
      </c>
      <c r="L55" s="40">
        <f t="shared" si="0"/>
        <v>0.55442704245964902</v>
      </c>
    </row>
    <row r="56" spans="1:12" x14ac:dyDescent="0.3">
      <c r="A56" s="22">
        <v>0.54</v>
      </c>
      <c r="B56" s="40">
        <v>0.90153589350489449</v>
      </c>
      <c r="D56" s="28"/>
      <c r="E56" s="28"/>
      <c r="G56" s="28"/>
      <c r="H56" s="28"/>
      <c r="K56" s="28">
        <v>5.3999999999999999E-2</v>
      </c>
      <c r="L56" s="40">
        <f t="shared" si="0"/>
        <v>0.55541811014672859</v>
      </c>
    </row>
    <row r="57" spans="1:12" x14ac:dyDescent="0.3">
      <c r="A57" s="22">
        <v>0.55000000000000004</v>
      </c>
      <c r="B57" s="40">
        <v>0.90524509342653336</v>
      </c>
      <c r="D57" s="28"/>
      <c r="E57" s="28"/>
      <c r="G57" s="28"/>
      <c r="H57" s="28"/>
      <c r="K57" s="28">
        <v>5.5E-2</v>
      </c>
      <c r="L57" s="40">
        <f t="shared" si="0"/>
        <v>0.55640873107028077</v>
      </c>
    </row>
    <row r="58" spans="1:12" x14ac:dyDescent="0.3">
      <c r="A58" s="22">
        <v>0.56000000000000005</v>
      </c>
      <c r="B58" s="40">
        <v>0.90883605414848001</v>
      </c>
      <c r="D58" s="28"/>
      <c r="E58" s="28"/>
      <c r="G58" s="28"/>
      <c r="H58" s="28"/>
      <c r="K58" s="28">
        <v>5.6000000000000001E-2</v>
      </c>
      <c r="L58" s="40">
        <f t="shared" si="0"/>
        <v>0.55739888381215585</v>
      </c>
    </row>
    <row r="59" spans="1:12" x14ac:dyDescent="0.3">
      <c r="A59" s="22">
        <v>0.56999999999999995</v>
      </c>
      <c r="B59" s="40">
        <v>0.91231135249262429</v>
      </c>
      <c r="D59" s="28"/>
      <c r="E59" s="28"/>
      <c r="G59" s="28"/>
      <c r="H59" s="28"/>
      <c r="K59" s="28">
        <v>5.7000000000000002E-2</v>
      </c>
      <c r="L59" s="40">
        <f t="shared" si="0"/>
        <v>0.55838856185540342</v>
      </c>
    </row>
    <row r="60" spans="1:12" x14ac:dyDescent="0.3">
      <c r="A60" s="22">
        <v>0.57999999999999996</v>
      </c>
      <c r="B60" s="40">
        <v>0.91567358449406278</v>
      </c>
      <c r="D60" s="28"/>
      <c r="E60" s="28"/>
      <c r="G60" s="28"/>
      <c r="H60" s="28"/>
      <c r="K60" s="28">
        <v>5.8000000000000003E-2</v>
      </c>
      <c r="L60" s="40">
        <f t="shared" si="0"/>
        <v>0.55937780338668852</v>
      </c>
    </row>
    <row r="61" spans="1:12" x14ac:dyDescent="0.3">
      <c r="A61" s="22">
        <v>0.59</v>
      </c>
      <c r="B61" s="40">
        <v>0.91892535914511153</v>
      </c>
      <c r="D61" s="28"/>
      <c r="E61" s="28"/>
      <c r="G61" s="28"/>
      <c r="H61" s="28"/>
      <c r="K61" s="28">
        <v>5.9000000000000004E-2</v>
      </c>
      <c r="L61" s="40">
        <f t="shared" si="0"/>
        <v>0.56036658698770836</v>
      </c>
    </row>
    <row r="62" spans="1:12" x14ac:dyDescent="0.3">
      <c r="A62" s="22">
        <v>0.6</v>
      </c>
      <c r="B62" s="40">
        <v>0.9220692925174272</v>
      </c>
      <c r="D62" s="28"/>
      <c r="E62" s="28"/>
      <c r="G62" s="28"/>
      <c r="H62" s="28"/>
      <c r="K62" s="28">
        <v>0.06</v>
      </c>
      <c r="L62" s="40">
        <f t="shared" si="0"/>
        <v>0.56135495217311049</v>
      </c>
    </row>
    <row r="63" spans="1:12" x14ac:dyDescent="0.3">
      <c r="A63" s="22">
        <v>0.61</v>
      </c>
      <c r="B63" s="40">
        <v>0.92510800225674816</v>
      </c>
      <c r="D63" s="28"/>
      <c r="E63" s="28"/>
      <c r="G63" s="28"/>
      <c r="H63" s="28"/>
      <c r="K63" s="28">
        <v>6.0999999999999999E-2</v>
      </c>
      <c r="L63" s="40">
        <f t="shared" si="0"/>
        <v>0.5623428240685594</v>
      </c>
    </row>
    <row r="64" spans="1:12" x14ac:dyDescent="0.3">
      <c r="A64" s="22">
        <v>0.62</v>
      </c>
      <c r="B64" s="40">
        <v>0.92804410244328317</v>
      </c>
      <c r="D64" s="28"/>
      <c r="E64" s="28"/>
      <c r="G64" s="28"/>
      <c r="H64" s="28"/>
      <c r="K64" s="28">
        <v>6.2E-2</v>
      </c>
      <c r="L64" s="40">
        <f t="shared" si="0"/>
        <v>0.56333034785471503</v>
      </c>
    </row>
    <row r="65" spans="1:12" x14ac:dyDescent="0.3">
      <c r="A65" s="22">
        <v>0.63</v>
      </c>
      <c r="B65" s="40">
        <v>0.93088019880946249</v>
      </c>
      <c r="D65" s="28"/>
      <c r="E65" s="28"/>
      <c r="G65" s="28"/>
      <c r="H65" s="28"/>
      <c r="K65" s="28">
        <v>6.3E-2</v>
      </c>
      <c r="L65" s="40">
        <f t="shared" si="0"/>
        <v>0.56431739306811268</v>
      </c>
    </row>
    <row r="66" spans="1:12" x14ac:dyDescent="0.3">
      <c r="A66" s="22">
        <v>0.64</v>
      </c>
      <c r="B66" s="40">
        <v>0.93361888430566264</v>
      </c>
      <c r="D66" s="28"/>
      <c r="E66" s="28"/>
      <c r="G66" s="28"/>
      <c r="H66" s="28"/>
      <c r="K66" s="28">
        <v>6.4000000000000001E-2</v>
      </c>
      <c r="L66" s="40">
        <f t="shared" si="0"/>
        <v>0.56530394845376419</v>
      </c>
    </row>
    <row r="67" spans="1:12" x14ac:dyDescent="0.3">
      <c r="A67" s="22">
        <v>0.65</v>
      </c>
      <c r="B67" s="40">
        <v>0.93626273500356216</v>
      </c>
      <c r="D67" s="28"/>
      <c r="E67" s="28"/>
      <c r="G67" s="28"/>
      <c r="H67" s="28"/>
      <c r="K67" s="28">
        <v>6.5000000000000002E-2</v>
      </c>
      <c r="L67" s="40">
        <f t="shared" ref="L67:L130" si="1">cubic_Spline($A$2:$A$152,$B$2:$B$152,K67)</f>
        <v>0.56629006236108503</v>
      </c>
    </row>
    <row r="68" spans="1:12" x14ac:dyDescent="0.3">
      <c r="A68" s="22">
        <v>0.65999999999999992</v>
      </c>
      <c r="B68" s="40">
        <v>0.93881430632601237</v>
      </c>
      <c r="D68" s="28"/>
      <c r="E68" s="28"/>
      <c r="G68" s="28"/>
      <c r="H68" s="28"/>
      <c r="K68" s="28">
        <v>6.6000000000000003E-2</v>
      </c>
      <c r="L68" s="40">
        <f t="shared" si="1"/>
        <v>0.56727569373292974</v>
      </c>
    </row>
    <row r="69" spans="1:12" x14ac:dyDescent="0.3">
      <c r="A69" s="22">
        <v>0.66999999999999993</v>
      </c>
      <c r="B69" s="40">
        <v>0.9412761295916745</v>
      </c>
      <c r="D69" s="28"/>
      <c r="E69" s="28"/>
      <c r="G69" s="28"/>
      <c r="H69" s="28"/>
      <c r="K69" s="28">
        <v>6.7000000000000004E-2</v>
      </c>
      <c r="L69" s="40">
        <f t="shared" si="1"/>
        <v>0.56826081641296067</v>
      </c>
    </row>
    <row r="70" spans="1:12" x14ac:dyDescent="0.3">
      <c r="A70" s="22">
        <v>0.67999999999999994</v>
      </c>
      <c r="B70" s="40">
        <v>0.94365070886217572</v>
      </c>
      <c r="D70" s="28"/>
      <c r="E70" s="28"/>
      <c r="G70" s="28"/>
      <c r="H70" s="28"/>
      <c r="K70" s="28">
        <v>6.8000000000000005E-2</v>
      </c>
      <c r="L70" s="40">
        <f t="shared" si="1"/>
        <v>0.56924544149808187</v>
      </c>
    </row>
    <row r="71" spans="1:12" x14ac:dyDescent="0.3">
      <c r="A71" s="22">
        <v>0.69</v>
      </c>
      <c r="B71" s="40">
        <v>0.94594051807918111</v>
      </c>
      <c r="D71" s="28"/>
      <c r="E71" s="28"/>
      <c r="G71" s="28"/>
      <c r="H71" s="28"/>
      <c r="K71" s="28">
        <v>6.9000000000000006E-2</v>
      </c>
      <c r="L71" s="40">
        <f t="shared" si="1"/>
        <v>0.57022954655731306</v>
      </c>
    </row>
    <row r="72" spans="1:12" x14ac:dyDescent="0.3">
      <c r="A72" s="22">
        <v>0.7</v>
      </c>
      <c r="B72" s="40">
        <v>0.94814799847852138</v>
      </c>
      <c r="D72" s="28"/>
      <c r="E72" s="28"/>
      <c r="G72" s="28"/>
      <c r="H72" s="28"/>
      <c r="K72" s="28">
        <v>7.0000000000000007E-2</v>
      </c>
      <c r="L72" s="40">
        <f t="shared" si="1"/>
        <v>0.57121310886656051</v>
      </c>
    </row>
    <row r="73" spans="1:12" x14ac:dyDescent="0.3">
      <c r="A73" s="22">
        <v>0.71</v>
      </c>
      <c r="B73" s="40">
        <v>0.95027555626836835</v>
      </c>
      <c r="D73" s="28"/>
      <c r="E73" s="28"/>
      <c r="G73" s="28"/>
      <c r="H73" s="28"/>
      <c r="K73" s="28">
        <v>7.1000000000000008E-2</v>
      </c>
      <c r="L73" s="40">
        <f t="shared" si="1"/>
        <v>0.57219619857077264</v>
      </c>
    </row>
    <row r="74" spans="1:12" x14ac:dyDescent="0.3">
      <c r="A74" s="22">
        <v>0.72</v>
      </c>
      <c r="B74" s="40">
        <v>0.95232556055840711</v>
      </c>
      <c r="D74" s="28"/>
      <c r="E74" s="28"/>
      <c r="G74" s="28"/>
      <c r="H74" s="28"/>
      <c r="K74" s="28">
        <v>7.2000000000000008E-2</v>
      </c>
      <c r="L74" s="40">
        <f t="shared" si="1"/>
        <v>0.57317868362528257</v>
      </c>
    </row>
    <row r="75" spans="1:12" x14ac:dyDescent="0.3">
      <c r="A75" s="22">
        <v>0.73</v>
      </c>
      <c r="B75" s="40">
        <v>0.95430034152697307</v>
      </c>
      <c r="D75" s="28"/>
      <c r="E75" s="28"/>
      <c r="G75" s="28"/>
      <c r="H75" s="28"/>
      <c r="K75" s="28">
        <v>7.2999999999999995E-2</v>
      </c>
      <c r="L75" s="40">
        <f t="shared" si="1"/>
        <v>0.57416061739813318</v>
      </c>
    </row>
    <row r="76" spans="1:12" x14ac:dyDescent="0.3">
      <c r="A76" s="22">
        <v>0.74</v>
      </c>
      <c r="B76" s="40">
        <v>0.95620218881323604</v>
      </c>
      <c r="D76" s="28"/>
      <c r="E76" s="28"/>
      <c r="G76" s="28"/>
      <c r="H76" s="28"/>
      <c r="K76" s="28">
        <v>7.3999999999999996E-2</v>
      </c>
      <c r="L76" s="40">
        <f t="shared" si="1"/>
        <v>0.57514202345611831</v>
      </c>
    </row>
    <row r="77" spans="1:12" x14ac:dyDescent="0.3">
      <c r="A77" s="22">
        <v>0.75</v>
      </c>
      <c r="B77" s="40">
        <v>0.95803335012167801</v>
      </c>
      <c r="D77" s="28"/>
      <c r="E77" s="28"/>
      <c r="G77" s="28"/>
      <c r="H77" s="28"/>
      <c r="K77" s="28">
        <v>7.4999999999999997E-2</v>
      </c>
      <c r="L77" s="40">
        <f t="shared" si="1"/>
        <v>0.57612280615667255</v>
      </c>
    </row>
    <row r="78" spans="1:12" x14ac:dyDescent="0.3">
      <c r="A78" s="22">
        <v>0.76</v>
      </c>
      <c r="B78" s="40">
        <v>0.95979603002633895</v>
      </c>
      <c r="D78" s="28"/>
      <c r="E78" s="28"/>
      <c r="G78" s="28"/>
      <c r="H78" s="28"/>
      <c r="K78" s="28">
        <v>7.5999999999999998E-2</v>
      </c>
      <c r="L78" s="40">
        <f t="shared" si="1"/>
        <v>0.57710307847375564</v>
      </c>
    </row>
    <row r="79" spans="1:12" x14ac:dyDescent="0.3">
      <c r="A79" s="22">
        <v>0.77</v>
      </c>
      <c r="B79" s="40">
        <v>0.96149238896257705</v>
      </c>
      <c r="D79" s="28"/>
      <c r="E79" s="28"/>
      <c r="G79" s="28"/>
      <c r="H79" s="28"/>
      <c r="K79" s="28">
        <v>7.6999999999999999E-2</v>
      </c>
      <c r="L79" s="40">
        <f t="shared" si="1"/>
        <v>0.57808275966583067</v>
      </c>
    </row>
    <row r="80" spans="1:12" x14ac:dyDescent="0.3">
      <c r="A80" s="22">
        <v>0.78</v>
      </c>
      <c r="B80" s="40">
        <v>0.96312454239440393</v>
      </c>
      <c r="D80" s="28"/>
      <c r="E80" s="28"/>
      <c r="G80" s="28"/>
      <c r="H80" s="28"/>
      <c r="K80" s="28">
        <v>7.8E-2</v>
      </c>
      <c r="L80" s="40">
        <f t="shared" si="1"/>
        <v>0.57906185839859492</v>
      </c>
    </row>
    <row r="81" spans="1:12" x14ac:dyDescent="0.3">
      <c r="A81" s="22">
        <v>0.79</v>
      </c>
      <c r="B81" s="55">
        <v>0.96469456014580635</v>
      </c>
      <c r="D81" s="28"/>
      <c r="E81" s="28"/>
      <c r="G81" s="28"/>
      <c r="H81" s="28"/>
      <c r="K81" s="28">
        <v>7.9000000000000001E-2</v>
      </c>
      <c r="L81" s="40">
        <f t="shared" si="1"/>
        <v>0.58004036098593781</v>
      </c>
    </row>
    <row r="82" spans="1:12" x14ac:dyDescent="0.3">
      <c r="A82" s="22">
        <v>0.8</v>
      </c>
      <c r="B82" s="40">
        <v>0.96620446588483488</v>
      </c>
      <c r="D82" s="28"/>
      <c r="E82" s="28"/>
      <c r="G82" s="28"/>
      <c r="H82" s="28"/>
      <c r="K82" s="28">
        <v>0.08</v>
      </c>
      <c r="L82" s="40">
        <f t="shared" si="1"/>
        <v>0.58101825549496711</v>
      </c>
    </row>
    <row r="83" spans="1:12" x14ac:dyDescent="0.3">
      <c r="A83" s="22">
        <v>0.80999999999999994</v>
      </c>
      <c r="B83" s="40">
        <v>0.96765623674964274</v>
      </c>
      <c r="D83" s="28"/>
      <c r="E83" s="28"/>
      <c r="G83" s="28"/>
      <c r="H83" s="28"/>
      <c r="K83" s="28">
        <v>8.1000000000000003E-2</v>
      </c>
      <c r="L83" s="40">
        <f t="shared" si="1"/>
        <v>0.58199558884597957</v>
      </c>
    </row>
    <row r="84" spans="1:12" x14ac:dyDescent="0.3">
      <c r="A84" s="22">
        <v>0.82</v>
      </c>
      <c r="B84" s="40">
        <v>0.96905180310607109</v>
      </c>
      <c r="D84" s="28"/>
      <c r="E84" s="28"/>
      <c r="G84" s="28"/>
      <c r="H84" s="28"/>
      <c r="K84" s="28">
        <v>8.2000000000000003E-2</v>
      </c>
      <c r="L84" s="40">
        <f t="shared" si="1"/>
        <v>0.58297228444430238</v>
      </c>
    </row>
    <row r="85" spans="1:12" x14ac:dyDescent="0.3">
      <c r="A85" s="22">
        <v>0.83</v>
      </c>
      <c r="B85" s="40">
        <v>0.97039304842679985</v>
      </c>
      <c r="D85" s="28"/>
      <c r="E85" s="28"/>
      <c r="G85" s="28"/>
      <c r="H85" s="28"/>
      <c r="K85" s="28">
        <v>8.3000000000000004E-2</v>
      </c>
      <c r="L85" s="40">
        <f t="shared" si="1"/>
        <v>0.58394836530992589</v>
      </c>
    </row>
    <row r="86" spans="1:12" x14ac:dyDescent="0.3">
      <c r="A86" s="22">
        <v>0.84</v>
      </c>
      <c r="B86" s="40">
        <v>0.97168180928251824</v>
      </c>
      <c r="D86" s="28"/>
      <c r="E86" s="28"/>
      <c r="G86" s="28"/>
      <c r="H86" s="28"/>
      <c r="K86" s="28">
        <v>8.4000000000000005E-2</v>
      </c>
      <c r="L86" s="40">
        <f t="shared" si="1"/>
        <v>0.58492382465829607</v>
      </c>
    </row>
    <row r="87" spans="1:12" x14ac:dyDescent="0.3">
      <c r="A87" s="22">
        <v>0.85</v>
      </c>
      <c r="B87" s="40">
        <v>0.97291987543600944</v>
      </c>
      <c r="D87" s="28"/>
      <c r="E87" s="28"/>
      <c r="G87" s="28"/>
      <c r="H87" s="28"/>
      <c r="K87" s="28">
        <v>8.5000000000000006E-2</v>
      </c>
      <c r="L87" s="40">
        <f t="shared" si="1"/>
        <v>0.58589865570571309</v>
      </c>
    </row>
    <row r="88" spans="1:12" x14ac:dyDescent="0.3">
      <c r="A88" s="22">
        <v>0.86</v>
      </c>
      <c r="B88" s="40">
        <v>0.97410899003047746</v>
      </c>
      <c r="D88" s="28"/>
      <c r="E88" s="28"/>
      <c r="G88" s="28"/>
      <c r="H88" s="28"/>
      <c r="K88" s="28">
        <v>8.6000000000000007E-2</v>
      </c>
      <c r="L88" s="40">
        <f t="shared" si="1"/>
        <v>0.58687288147111027</v>
      </c>
    </row>
    <row r="89" spans="1:12" x14ac:dyDescent="0.3">
      <c r="A89" s="22">
        <v>0.87</v>
      </c>
      <c r="B89" s="40">
        <v>0.97525084986388588</v>
      </c>
      <c r="D89" s="28"/>
      <c r="E89" s="28"/>
      <c r="G89" s="28"/>
      <c r="H89" s="28"/>
      <c r="K89" s="28">
        <v>8.7000000000000008E-2</v>
      </c>
      <c r="L89" s="40">
        <f t="shared" si="1"/>
        <v>0.58784643556564697</v>
      </c>
    </row>
    <row r="90" spans="1:12" x14ac:dyDescent="0.3">
      <c r="A90" s="22">
        <v>0.88</v>
      </c>
      <c r="B90" s="40">
        <v>0.97634710574150552</v>
      </c>
      <c r="D90" s="28"/>
      <c r="E90" s="28"/>
      <c r="G90" s="28"/>
      <c r="H90" s="28"/>
      <c r="K90" s="28">
        <v>8.7999999999999995E-2</v>
      </c>
      <c r="L90" s="40">
        <f t="shared" si="1"/>
        <v>0.58881935590951828</v>
      </c>
    </row>
    <row r="91" spans="1:12" x14ac:dyDescent="0.3">
      <c r="A91" s="22">
        <v>0.8899999999999999</v>
      </c>
      <c r="B91" s="40">
        <v>0.97739936289929796</v>
      </c>
      <c r="D91" s="28"/>
      <c r="E91" s="28"/>
      <c r="G91" s="28"/>
      <c r="H91" s="28"/>
      <c r="K91" s="28">
        <v>8.8999999999999996E-2</v>
      </c>
      <c r="L91" s="40">
        <f t="shared" si="1"/>
        <v>0.58979161336693042</v>
      </c>
    </row>
    <row r="92" spans="1:12" x14ac:dyDescent="0.3">
      <c r="A92" s="22">
        <v>0.89999999999999991</v>
      </c>
      <c r="B92" s="40">
        <v>0.97840918149117417</v>
      </c>
      <c r="D92" s="28"/>
      <c r="E92" s="28"/>
      <c r="G92" s="28"/>
      <c r="H92" s="28"/>
      <c r="K92" s="28">
        <v>0.09</v>
      </c>
      <c r="L92" s="40">
        <f t="shared" si="1"/>
        <v>0.59076323492194927</v>
      </c>
    </row>
    <row r="93" spans="1:12" x14ac:dyDescent="0.3">
      <c r="A93" s="22">
        <v>0.90999999999999992</v>
      </c>
      <c r="B93" s="40">
        <v>0.97937807713358005</v>
      </c>
      <c r="D93" s="28"/>
      <c r="E93" s="28"/>
      <c r="G93" s="28"/>
      <c r="H93" s="28"/>
      <c r="K93" s="28">
        <v>9.0999999999999998E-2</v>
      </c>
      <c r="L93" s="40">
        <f t="shared" si="1"/>
        <v>0.59173412564482308</v>
      </c>
    </row>
    <row r="94" spans="1:12" x14ac:dyDescent="0.3">
      <c r="A94" s="22">
        <v>0.91999999999999993</v>
      </c>
      <c r="B94" s="40">
        <v>0.98030752150124867</v>
      </c>
      <c r="D94" s="28"/>
      <c r="E94" s="28"/>
      <c r="G94" s="28"/>
      <c r="H94" s="28"/>
      <c r="K94" s="28">
        <v>9.1999999999999998E-2</v>
      </c>
      <c r="L94" s="40">
        <f t="shared" si="1"/>
        <v>0.59270437021240641</v>
      </c>
    </row>
    <row r="95" spans="1:12" x14ac:dyDescent="0.3">
      <c r="A95" s="22">
        <v>0.92999999999999994</v>
      </c>
      <c r="B95" s="40">
        <v>0.98119894296835253</v>
      </c>
      <c r="D95" s="28"/>
      <c r="E95" s="28"/>
      <c r="G95" s="28"/>
      <c r="H95" s="28"/>
      <c r="K95" s="28">
        <v>9.2999999999999999E-2</v>
      </c>
      <c r="L95" s="40">
        <f t="shared" si="1"/>
        <v>0.59367393186802764</v>
      </c>
    </row>
    <row r="96" spans="1:12" x14ac:dyDescent="0.3">
      <c r="A96" s="22">
        <v>0.94</v>
      </c>
      <c r="B96" s="40">
        <v>0.9820537272896479</v>
      </c>
      <c r="D96" s="28"/>
      <c r="E96" s="28"/>
      <c r="G96" s="28"/>
      <c r="H96" s="28"/>
      <c r="K96" s="28">
        <v>9.4E-2</v>
      </c>
      <c r="L96" s="40">
        <f t="shared" si="1"/>
        <v>0.5946428334596594</v>
      </c>
    </row>
    <row r="97" spans="1:12" x14ac:dyDescent="0.3">
      <c r="A97" s="22">
        <v>0.95</v>
      </c>
      <c r="B97" s="40">
        <v>0.98287321831657148</v>
      </c>
      <c r="D97" s="28"/>
      <c r="E97" s="28"/>
      <c r="G97" s="28"/>
      <c r="H97" s="28"/>
      <c r="K97" s="28">
        <v>9.5000000000000001E-2</v>
      </c>
      <c r="L97" s="40">
        <f t="shared" si="1"/>
        <v>0.59561100842830761</v>
      </c>
    </row>
    <row r="98" spans="1:12" x14ac:dyDescent="0.3">
      <c r="A98" s="22">
        <v>0.96</v>
      </c>
      <c r="B98" s="40">
        <v>0.98365871874358102</v>
      </c>
      <c r="D98" s="28"/>
      <c r="E98" s="28"/>
      <c r="G98" s="28"/>
      <c r="H98" s="28"/>
      <c r="K98" s="28">
        <v>9.6000000000000002E-2</v>
      </c>
      <c r="L98" s="40">
        <f t="shared" si="1"/>
        <v>0.59657849452327882</v>
      </c>
    </row>
    <row r="99" spans="1:12" x14ac:dyDescent="0.3">
      <c r="A99" s="22">
        <v>0.97</v>
      </c>
      <c r="B99" s="40">
        <v>0.98441149088036939</v>
      </c>
      <c r="D99" s="28"/>
      <c r="E99" s="28"/>
      <c r="G99" s="28"/>
      <c r="H99" s="28"/>
      <c r="K99" s="28">
        <v>9.7000000000000003E-2</v>
      </c>
      <c r="L99" s="40">
        <f t="shared" si="1"/>
        <v>0.59754525498762556</v>
      </c>
    </row>
    <row r="100" spans="1:12" x14ac:dyDescent="0.3">
      <c r="A100" s="22">
        <v>0.98</v>
      </c>
      <c r="B100" s="40">
        <v>0.9851327574458878</v>
      </c>
      <c r="D100" s="28"/>
      <c r="E100" s="28"/>
      <c r="G100" s="28"/>
      <c r="H100" s="28"/>
      <c r="K100" s="28">
        <v>9.8000000000000004E-2</v>
      </c>
      <c r="L100" s="40">
        <f t="shared" si="1"/>
        <v>0.59851130521882312</v>
      </c>
    </row>
    <row r="101" spans="1:12" x14ac:dyDescent="0.3">
      <c r="A101" s="22">
        <v>0.99</v>
      </c>
      <c r="B101" s="40">
        <v>0.98582370238041528</v>
      </c>
      <c r="D101" s="28"/>
      <c r="E101" s="28"/>
      <c r="G101" s="28"/>
      <c r="H101" s="28"/>
      <c r="K101" s="28">
        <v>9.9000000000000005E-2</v>
      </c>
      <c r="L101" s="40">
        <f t="shared" si="1"/>
        <v>0.59947662708665117</v>
      </c>
    </row>
    <row r="102" spans="1:12" x14ac:dyDescent="0.3">
      <c r="A102" s="22">
        <v>1</v>
      </c>
      <c r="B102" s="40">
        <v>0.98648547167219747</v>
      </c>
      <c r="D102" s="28"/>
      <c r="E102" s="28"/>
      <c r="G102" s="28"/>
      <c r="H102" s="28"/>
      <c r="K102" s="28">
        <v>0.1</v>
      </c>
      <c r="L102" s="40">
        <f t="shared" si="1"/>
        <v>0.60044118611832609</v>
      </c>
    </row>
    <row r="103" spans="1:12" x14ac:dyDescent="0.3">
      <c r="A103" s="22">
        <v>1.01</v>
      </c>
      <c r="B103" s="55">
        <v>0.98711917419544282</v>
      </c>
      <c r="D103" s="28"/>
      <c r="E103" s="28"/>
      <c r="G103" s="28"/>
      <c r="H103" s="28"/>
      <c r="K103" s="28">
        <v>0.10100000000000001</v>
      </c>
      <c r="L103" s="40">
        <f t="shared" si="1"/>
        <v>0.6014050642486064</v>
      </c>
    </row>
    <row r="104" spans="1:12" x14ac:dyDescent="0.3">
      <c r="A104" s="22">
        <v>1.02</v>
      </c>
      <c r="B104" s="40">
        <v>0.98772588255672555</v>
      </c>
      <c r="D104" s="28"/>
      <c r="E104" s="28"/>
      <c r="G104" s="28"/>
      <c r="H104" s="28"/>
      <c r="K104" s="28">
        <v>0.10200000000000001</v>
      </c>
      <c r="L104" s="40">
        <f t="shared" si="1"/>
        <v>0.60236819762136284</v>
      </c>
    </row>
    <row r="105" spans="1:12" x14ac:dyDescent="0.3">
      <c r="A105" s="22">
        <v>1.03</v>
      </c>
      <c r="B105" s="40">
        <v>0.98830663394707963</v>
      </c>
      <c r="D105" s="28"/>
      <c r="E105" s="28"/>
      <c r="G105" s="28"/>
      <c r="H105" s="28"/>
      <c r="K105" s="28">
        <v>0.10300000000000001</v>
      </c>
      <c r="L105" s="40">
        <f t="shared" si="1"/>
        <v>0.60333055022065984</v>
      </c>
    </row>
    <row r="106" spans="1:12" x14ac:dyDescent="0.3">
      <c r="A106" s="22">
        <v>1.04</v>
      </c>
      <c r="B106" s="40">
        <v>0.98886243099730331</v>
      </c>
      <c r="D106" s="28"/>
      <c r="E106" s="28"/>
      <c r="G106" s="28"/>
      <c r="H106" s="28"/>
      <c r="K106" s="28">
        <v>0.10400000000000001</v>
      </c>
      <c r="L106" s="40">
        <f t="shared" si="1"/>
        <v>0.60429214563667433</v>
      </c>
    </row>
    <row r="107" spans="1:12" x14ac:dyDescent="0.3">
      <c r="A107" s="22">
        <v>1.05</v>
      </c>
      <c r="B107" s="40">
        <v>0.98939424263420161</v>
      </c>
      <c r="D107" s="28"/>
      <c r="E107" s="28"/>
      <c r="G107" s="28"/>
      <c r="H107" s="28"/>
      <c r="K107" s="28">
        <v>0.105</v>
      </c>
      <c r="L107" s="40">
        <f t="shared" si="1"/>
        <v>0.60525297765725938</v>
      </c>
    </row>
    <row r="108" spans="1:12" x14ac:dyDescent="0.3">
      <c r="A108" s="22">
        <v>1.06</v>
      </c>
      <c r="B108" s="40">
        <v>0.98990300493570016</v>
      </c>
      <c r="D108" s="28"/>
      <c r="E108" s="28"/>
      <c r="G108" s="28"/>
      <c r="H108" s="28"/>
      <c r="K108" s="28">
        <v>0.106</v>
      </c>
      <c r="L108" s="40">
        <f t="shared" si="1"/>
        <v>0.60621305497143241</v>
      </c>
    </row>
    <row r="109" spans="1:12" x14ac:dyDescent="0.3">
      <c r="A109" s="22">
        <v>1.07</v>
      </c>
      <c r="B109" s="40">
        <v>0.99038962198295311</v>
      </c>
      <c r="D109" s="28"/>
      <c r="E109" s="28"/>
      <c r="G109" s="28"/>
      <c r="H109" s="28"/>
      <c r="K109" s="28">
        <v>0.107</v>
      </c>
      <c r="L109" s="40">
        <f t="shared" si="1"/>
        <v>0.60717234156472422</v>
      </c>
    </row>
    <row r="110" spans="1:12" x14ac:dyDescent="0.3">
      <c r="A110" s="22">
        <v>1.08</v>
      </c>
      <c r="B110" s="40">
        <v>0.99085496670774365</v>
      </c>
      <c r="D110" s="28"/>
      <c r="E110" s="28"/>
      <c r="G110" s="28"/>
      <c r="H110" s="28"/>
      <c r="K110" s="28">
        <v>0.108</v>
      </c>
      <c r="L110" s="40">
        <f t="shared" si="1"/>
        <v>0.60813084612615043</v>
      </c>
    </row>
    <row r="111" spans="1:12" x14ac:dyDescent="0.3">
      <c r="A111" s="22">
        <v>1.0899999999999999</v>
      </c>
      <c r="B111" s="40">
        <v>0.99129988173364347</v>
      </c>
      <c r="D111" s="28"/>
      <c r="E111" s="28"/>
      <c r="G111" s="28"/>
      <c r="H111" s="28"/>
      <c r="K111" s="28">
        <v>0.109</v>
      </c>
      <c r="L111" s="40">
        <f t="shared" si="1"/>
        <v>0.60908856616885554</v>
      </c>
    </row>
    <row r="112" spans="1:12" x14ac:dyDescent="0.3">
      <c r="A112" s="22">
        <v>1.1000000000000001</v>
      </c>
      <c r="B112" s="40">
        <v>0.99172518020955214</v>
      </c>
      <c r="D112" s="28"/>
      <c r="E112" s="28"/>
      <c r="G112" s="28"/>
      <c r="H112" s="28"/>
      <c r="K112" s="28">
        <v>0.11</v>
      </c>
      <c r="L112" s="40">
        <f t="shared" si="1"/>
        <v>0.61004546997612119</v>
      </c>
    </row>
    <row r="113" spans="1:12" x14ac:dyDescent="0.3">
      <c r="A113" s="22">
        <v>1.1099999999999999</v>
      </c>
      <c r="B113" s="40">
        <v>0.99213164663438147</v>
      </c>
      <c r="D113" s="28"/>
      <c r="E113" s="28"/>
      <c r="G113" s="28"/>
      <c r="H113" s="28"/>
      <c r="K113" s="28">
        <v>0.111</v>
      </c>
      <c r="L113" s="40">
        <f t="shared" si="1"/>
        <v>0.61100163901094195</v>
      </c>
    </row>
    <row r="114" spans="1:12" x14ac:dyDescent="0.3">
      <c r="A114" s="22">
        <v>1.1200000000000001</v>
      </c>
      <c r="B114" s="40">
        <v>0.99252003767178765</v>
      </c>
      <c r="D114" s="28"/>
      <c r="E114" s="28"/>
      <c r="G114" s="28"/>
      <c r="H114" s="28"/>
      <c r="K114" s="28">
        <v>0.112</v>
      </c>
      <c r="L114" s="40">
        <f t="shared" si="1"/>
        <v>0.61195694130957301</v>
      </c>
    </row>
    <row r="115" spans="1:12" x14ac:dyDescent="0.3">
      <c r="A115" s="22">
        <v>1.1299999999999999</v>
      </c>
      <c r="B115" s="40">
        <v>0.99289108295397632</v>
      </c>
      <c r="D115" s="28"/>
      <c r="E115" s="28"/>
      <c r="G115" s="28"/>
      <c r="H115" s="28"/>
      <c r="K115" s="28">
        <v>0.113</v>
      </c>
      <c r="L115" s="40">
        <f t="shared" si="1"/>
        <v>0.61291143001346549</v>
      </c>
    </row>
    <row r="116" spans="1:12" x14ac:dyDescent="0.3">
      <c r="A116" s="22">
        <v>1.1400000000000001</v>
      </c>
      <c r="B116" s="40">
        <v>0.99324548587372197</v>
      </c>
      <c r="D116" s="28"/>
      <c r="E116" s="28"/>
      <c r="G116" s="28"/>
      <c r="H116" s="28"/>
      <c r="K116" s="28">
        <v>0.114</v>
      </c>
      <c r="L116" s="40">
        <f t="shared" si="1"/>
        <v>0.61386512846174723</v>
      </c>
    </row>
    <row r="117" spans="1:12" x14ac:dyDescent="0.3">
      <c r="A117" s="22">
        <v>1.1499999999999999</v>
      </c>
      <c r="B117" s="40">
        <v>0.99358392436385579</v>
      </c>
      <c r="D117" s="28"/>
      <c r="E117" s="28"/>
      <c r="G117" s="28"/>
      <c r="H117" s="28"/>
      <c r="K117" s="28">
        <v>0.115</v>
      </c>
      <c r="L117" s="40">
        <f t="shared" si="1"/>
        <v>0.61481797058657972</v>
      </c>
    </row>
    <row r="118" spans="1:12" x14ac:dyDescent="0.3">
      <c r="A118" s="22">
        <v>1.1600000000000001</v>
      </c>
      <c r="B118" s="40">
        <v>0.99390705166356752</v>
      </c>
      <c r="D118" s="28"/>
      <c r="E118" s="28"/>
      <c r="G118" s="28"/>
      <c r="H118" s="28"/>
      <c r="K118" s="28">
        <v>0.11600000000000001</v>
      </c>
      <c r="L118" s="40">
        <f t="shared" si="1"/>
        <v>0.61577002443078155</v>
      </c>
    </row>
    <row r="119" spans="1:12" x14ac:dyDescent="0.3">
      <c r="A119" s="22">
        <v>1.17</v>
      </c>
      <c r="B119" s="40">
        <v>0.99421549707096923</v>
      </c>
      <c r="D119" s="28"/>
      <c r="E119" s="28"/>
      <c r="G119" s="28"/>
      <c r="H119" s="28"/>
      <c r="K119" s="28">
        <v>0.11700000000000001</v>
      </c>
      <c r="L119" s="40">
        <f t="shared" si="1"/>
        <v>0.61672120902502259</v>
      </c>
    </row>
    <row r="120" spans="1:12" x14ac:dyDescent="0.3">
      <c r="A120" s="22">
        <v>1.18</v>
      </c>
      <c r="B120" s="40">
        <v>0.9945098666814437</v>
      </c>
      <c r="D120" s="28"/>
      <c r="E120" s="28"/>
      <c r="G120" s="28"/>
      <c r="H120" s="28"/>
      <c r="K120" s="28">
        <v>0.11800000000000001</v>
      </c>
      <c r="L120" s="40">
        <f t="shared" si="1"/>
        <v>0.61767154770853094</v>
      </c>
    </row>
    <row r="121" spans="1:12" x14ac:dyDescent="0.3">
      <c r="A121" s="22">
        <v>1.19</v>
      </c>
      <c r="B121" s="40">
        <v>0.99479074411138768</v>
      </c>
      <c r="D121" s="28"/>
      <c r="E121" s="28"/>
      <c r="G121" s="28"/>
      <c r="H121" s="28"/>
      <c r="K121" s="28">
        <v>0.11900000000000001</v>
      </c>
      <c r="L121" s="40">
        <f t="shared" si="1"/>
        <v>0.61862103401811208</v>
      </c>
    </row>
    <row r="122" spans="1:12" x14ac:dyDescent="0.3">
      <c r="A122" s="22">
        <v>1.2</v>
      </c>
      <c r="B122" s="40">
        <v>0.99505869120702506</v>
      </c>
      <c r="D122" s="28"/>
      <c r="E122" s="28"/>
      <c r="G122" s="28"/>
      <c r="H122" s="28"/>
      <c r="K122" s="28">
        <v>0.12</v>
      </c>
      <c r="L122" s="40">
        <f t="shared" si="1"/>
        <v>0.61956964914485091</v>
      </c>
    </row>
    <row r="123" spans="1:12" x14ac:dyDescent="0.3">
      <c r="A123" s="22">
        <v>1.21</v>
      </c>
      <c r="B123" s="40">
        <v>0.99531424873803387</v>
      </c>
      <c r="D123" s="28"/>
      <c r="E123" s="28"/>
      <c r="G123" s="28"/>
      <c r="H123" s="28"/>
      <c r="K123" s="28">
        <v>0.121</v>
      </c>
      <c r="L123" s="40">
        <f t="shared" si="1"/>
        <v>0.62051745036124928</v>
      </c>
    </row>
    <row r="124" spans="1:12" x14ac:dyDescent="0.3">
      <c r="A124" s="22">
        <v>1.22</v>
      </c>
      <c r="B124" s="40">
        <v>0.99555793707579388</v>
      </c>
      <c r="D124" s="28"/>
      <c r="E124" s="28"/>
      <c r="G124" s="28"/>
      <c r="H124" s="28"/>
      <c r="K124" s="28">
        <v>0.122</v>
      </c>
      <c r="L124" s="40">
        <f t="shared" si="1"/>
        <v>0.62146432083065062</v>
      </c>
    </row>
    <row r="125" spans="1:12" x14ac:dyDescent="0.3">
      <c r="A125" s="22">
        <v>1.23</v>
      </c>
      <c r="B125" s="40">
        <v>0.99579025685611189</v>
      </c>
      <c r="D125" s="28"/>
      <c r="E125" s="28"/>
      <c r="G125" s="28"/>
      <c r="H125" s="28"/>
      <c r="K125" s="28">
        <v>0.123</v>
      </c>
      <c r="L125" s="40">
        <f t="shared" si="1"/>
        <v>0.6224103441146227</v>
      </c>
    </row>
    <row r="126" spans="1:12" x14ac:dyDescent="0.3">
      <c r="A126" s="22">
        <v>1.24</v>
      </c>
      <c r="B126" s="40">
        <v>0.99601168962633357</v>
      </c>
      <c r="D126" s="28"/>
      <c r="E126" s="28"/>
      <c r="G126" s="28"/>
      <c r="H126" s="28"/>
      <c r="K126" s="28">
        <v>0.124</v>
      </c>
      <c r="L126" s="40">
        <f t="shared" si="1"/>
        <v>0.62335548456716217</v>
      </c>
    </row>
    <row r="127" spans="1:12" x14ac:dyDescent="0.3">
      <c r="A127" s="22">
        <v>1.25</v>
      </c>
      <c r="B127" s="40">
        <v>0.99622269847680112</v>
      </c>
      <c r="D127" s="28"/>
      <c r="E127" s="28"/>
      <c r="G127" s="28"/>
      <c r="H127" s="28"/>
      <c r="K127" s="28">
        <v>0.125</v>
      </c>
      <c r="L127" s="40">
        <f t="shared" si="1"/>
        <v>0.62429970654215894</v>
      </c>
    </row>
    <row r="128" spans="1:12" x14ac:dyDescent="0.3">
      <c r="A128" s="22">
        <v>1.26</v>
      </c>
      <c r="B128" s="40">
        <v>0.99642372865664863</v>
      </c>
      <c r="D128" s="28"/>
      <c r="E128" s="28"/>
      <c r="G128" s="28"/>
      <c r="H128" s="28"/>
      <c r="K128" s="28">
        <v>0.126</v>
      </c>
      <c r="L128" s="40">
        <f t="shared" si="1"/>
        <v>0.62524307870206075</v>
      </c>
    </row>
    <row r="129" spans="1:12" x14ac:dyDescent="0.3">
      <c r="A129" s="22">
        <v>1.27</v>
      </c>
      <c r="B129" s="40">
        <v>0.99661520817397331</v>
      </c>
      <c r="D129" s="28"/>
      <c r="E129" s="28"/>
      <c r="G129" s="28"/>
      <c r="H129" s="28"/>
      <c r="K129" s="28">
        <v>0.127</v>
      </c>
      <c r="L129" s="40">
        <f t="shared" si="1"/>
        <v>0.62618552069705868</v>
      </c>
    </row>
    <row r="130" spans="1:12" x14ac:dyDescent="0.3">
      <c r="A130" s="22">
        <v>1.28</v>
      </c>
      <c r="B130" s="40">
        <v>0.99679754838044909</v>
      </c>
      <c r="D130" s="28"/>
      <c r="E130" s="28"/>
      <c r="G130" s="28"/>
      <c r="H130" s="28"/>
      <c r="K130" s="28">
        <v>0.128</v>
      </c>
      <c r="L130" s="40">
        <f t="shared" si="1"/>
        <v>0.62712706393648265</v>
      </c>
    </row>
    <row r="131" spans="1:12" x14ac:dyDescent="0.3">
      <c r="A131" s="22">
        <v>1.29</v>
      </c>
      <c r="B131" s="40">
        <v>0.99697114454048008</v>
      </c>
      <c r="D131" s="28"/>
      <c r="E131" s="28"/>
      <c r="G131" s="28"/>
      <c r="H131" s="28"/>
      <c r="K131" s="28">
        <v>0.129</v>
      </c>
      <c r="L131" s="40">
        <f t="shared" ref="L131:L194" si="2">cubic_Spline($A$2:$A$152,$B$2:$B$152,K131)</f>
        <v>0.62806769140078134</v>
      </c>
    </row>
    <row r="132" spans="1:12" x14ac:dyDescent="0.3">
      <c r="A132" s="22">
        <v>1.3</v>
      </c>
      <c r="B132" s="40">
        <v>0.99713637638502284</v>
      </c>
      <c r="D132" s="28"/>
      <c r="E132" s="28"/>
      <c r="G132" s="28"/>
      <c r="H132" s="28"/>
      <c r="K132" s="28">
        <v>0.13</v>
      </c>
      <c r="L132" s="40">
        <f t="shared" si="2"/>
        <v>0.62900740547160683</v>
      </c>
    </row>
    <row r="133" spans="1:12" x14ac:dyDescent="0.3">
      <c r="A133" s="22">
        <v>1.31</v>
      </c>
      <c r="B133" s="40">
        <v>0.99729360865022287</v>
      </c>
      <c r="D133" s="28"/>
      <c r="E133" s="28"/>
      <c r="G133" s="28"/>
      <c r="H133" s="28"/>
      <c r="K133" s="28">
        <v>0.13100000000000001</v>
      </c>
      <c r="L133" s="40">
        <f t="shared" si="2"/>
        <v>0.62994617963545918</v>
      </c>
    </row>
    <row r="134" spans="1:12" x14ac:dyDescent="0.3">
      <c r="A134" s="22">
        <v>1.3199999999999998</v>
      </c>
      <c r="B134" s="40">
        <v>0.99744319160104211</v>
      </c>
      <c r="D134" s="28"/>
      <c r="E134" s="28"/>
      <c r="G134" s="28"/>
      <c r="H134" s="28"/>
      <c r="K134" s="28">
        <v>0.13200000000000001</v>
      </c>
      <c r="L134" s="40">
        <f t="shared" si="2"/>
        <v>0.63088408369923676</v>
      </c>
    </row>
    <row r="135" spans="1:12" x14ac:dyDescent="0.3">
      <c r="A135" s="22">
        <v>1.33</v>
      </c>
      <c r="B135" s="40">
        <v>0.99758546154006333</v>
      </c>
      <c r="D135" s="28"/>
      <c r="E135" s="28"/>
      <c r="G135" s="28"/>
      <c r="H135" s="28"/>
      <c r="K135" s="28">
        <v>0.13300000000000001</v>
      </c>
      <c r="L135" s="40">
        <f t="shared" si="2"/>
        <v>0.63182099248940282</v>
      </c>
    </row>
    <row r="136" spans="1:12" x14ac:dyDescent="0.3">
      <c r="A136" s="22">
        <v>1.3399999999999999</v>
      </c>
      <c r="B136" s="40">
        <v>0.99772074130168231</v>
      </c>
      <c r="D136" s="28"/>
      <c r="E136" s="28"/>
      <c r="G136" s="28"/>
      <c r="H136" s="28"/>
      <c r="K136" s="28">
        <v>0.13400000000000001</v>
      </c>
      <c r="L136" s="40">
        <f t="shared" si="2"/>
        <v>0.63275695964294176</v>
      </c>
    </row>
    <row r="137" spans="1:12" x14ac:dyDescent="0.3">
      <c r="A137" s="22">
        <v>1.35</v>
      </c>
      <c r="B137" s="40">
        <v>0.99784934073190701</v>
      </c>
      <c r="D137" s="28"/>
      <c r="E137" s="28"/>
      <c r="G137" s="28"/>
      <c r="H137" s="28"/>
      <c r="K137" s="28">
        <v>0.13500000000000001</v>
      </c>
      <c r="L137" s="40">
        <f t="shared" si="2"/>
        <v>0.63369200899594225</v>
      </c>
    </row>
    <row r="138" spans="1:12" x14ac:dyDescent="0.3">
      <c r="A138" s="22">
        <v>1.3599999999999999</v>
      </c>
      <c r="B138" s="40">
        <v>0.9979715571540021</v>
      </c>
      <c r="D138" s="28"/>
      <c r="E138" s="28"/>
      <c r="G138" s="28"/>
      <c r="H138" s="28"/>
      <c r="K138" s="28">
        <v>0.13600000000000001</v>
      </c>
      <c r="L138" s="40">
        <f t="shared" si="2"/>
        <v>0.63462607497754409</v>
      </c>
    </row>
    <row r="139" spans="1:12" x14ac:dyDescent="0.3">
      <c r="A139" s="22">
        <v>1.37</v>
      </c>
      <c r="B139" s="40">
        <v>0.99808767582021984</v>
      </c>
      <c r="D139" s="28"/>
      <c r="E139" s="28"/>
      <c r="G139" s="28"/>
      <c r="H139" s="28"/>
      <c r="K139" s="28">
        <v>0.13700000000000001</v>
      </c>
      <c r="L139" s="40">
        <f t="shared" si="2"/>
        <v>0.63555919632446523</v>
      </c>
    </row>
    <row r="140" spans="1:12" x14ac:dyDescent="0.3">
      <c r="A140" s="22">
        <v>1.38</v>
      </c>
      <c r="B140" s="40">
        <v>0.99819797034987612</v>
      </c>
      <c r="D140" s="28"/>
      <c r="E140" s="28"/>
      <c r="G140" s="28"/>
      <c r="H140" s="28"/>
      <c r="K140" s="28">
        <v>0.13800000000000001</v>
      </c>
      <c r="L140" s="40">
        <f t="shared" si="2"/>
        <v>0.6364913670708755</v>
      </c>
    </row>
    <row r="141" spans="1:12" x14ac:dyDescent="0.3">
      <c r="A141" s="22">
        <v>1.3900000000000001</v>
      </c>
      <c r="B141" s="40">
        <v>0.99830270315403058</v>
      </c>
      <c r="D141" s="28"/>
      <c r="E141" s="28"/>
      <c r="G141" s="28"/>
      <c r="H141" s="28"/>
      <c r="K141" s="28">
        <v>0.13900000000000001</v>
      </c>
      <c r="L141" s="40">
        <f t="shared" si="2"/>
        <v>0.63742254399698017</v>
      </c>
    </row>
    <row r="142" spans="1:12" x14ac:dyDescent="0.3">
      <c r="A142" s="22">
        <v>1.4</v>
      </c>
      <c r="B142" s="40">
        <v>0.99840212584704391</v>
      </c>
      <c r="D142" s="28"/>
      <c r="E142" s="28"/>
      <c r="G142" s="28"/>
      <c r="H142" s="28"/>
      <c r="K142" s="28">
        <v>0.14000000000000001</v>
      </c>
      <c r="L142" s="40">
        <f t="shared" si="2"/>
        <v>0.63835271313090403</v>
      </c>
    </row>
    <row r="143" spans="1:12" x14ac:dyDescent="0.3">
      <c r="A143" s="22">
        <v>1.4100000000000001</v>
      </c>
      <c r="B143" s="40">
        <v>0.99849647964527999</v>
      </c>
      <c r="D143" s="28"/>
      <c r="E143" s="28"/>
      <c r="G143" s="28"/>
      <c r="H143" s="28"/>
      <c r="K143" s="28">
        <v>0.14100000000000001</v>
      </c>
      <c r="L143" s="40">
        <f t="shared" si="2"/>
        <v>0.63928197502301964</v>
      </c>
    </row>
    <row r="144" spans="1:12" x14ac:dyDescent="0.3">
      <c r="A144" s="22">
        <v>1.42</v>
      </c>
      <c r="B144" s="40">
        <v>0.99858599575323803</v>
      </c>
      <c r="D144" s="28"/>
      <c r="E144" s="28"/>
      <c r="G144" s="28"/>
      <c r="H144" s="28"/>
      <c r="K144" s="28">
        <v>0.14200000000000002</v>
      </c>
      <c r="L144" s="40">
        <f t="shared" si="2"/>
        <v>0.64021024821896466</v>
      </c>
    </row>
    <row r="145" spans="1:12" x14ac:dyDescent="0.3">
      <c r="A145" s="22">
        <v>1.4300000000000002</v>
      </c>
      <c r="B145" s="40">
        <v>0.99867089573738754</v>
      </c>
      <c r="D145" s="28"/>
      <c r="E145" s="28"/>
      <c r="G145" s="28"/>
      <c r="H145" s="28"/>
      <c r="K145" s="28">
        <v>0.14300000000000002</v>
      </c>
      <c r="L145" s="40">
        <f t="shared" si="2"/>
        <v>0.64113746781867953</v>
      </c>
    </row>
    <row r="146" spans="1:12" x14ac:dyDescent="0.3">
      <c r="A146" s="22">
        <v>1.44</v>
      </c>
      <c r="B146" s="40">
        <v>0.99875139188799478</v>
      </c>
      <c r="D146" s="28"/>
      <c r="E146" s="28"/>
      <c r="G146" s="28"/>
      <c r="H146" s="28"/>
      <c r="K146" s="28">
        <v>0.14400000000000002</v>
      </c>
      <c r="L146" s="40">
        <f t="shared" si="2"/>
        <v>0.64206368812971437</v>
      </c>
    </row>
    <row r="147" spans="1:12" x14ac:dyDescent="0.3">
      <c r="A147" s="22">
        <v>1.45</v>
      </c>
      <c r="B147" s="40">
        <v>0.99882768756922102</v>
      </c>
      <c r="D147" s="28"/>
      <c r="E147" s="28"/>
      <c r="G147" s="28"/>
      <c r="H147" s="28"/>
      <c r="K147" s="28">
        <v>0.14499999999999999</v>
      </c>
      <c r="L147" s="40">
        <f t="shared" si="2"/>
        <v>0.64298890385636942</v>
      </c>
    </row>
    <row r="148" spans="1:12" x14ac:dyDescent="0.3">
      <c r="A148" s="22">
        <v>1.46</v>
      </c>
      <c r="B148" s="40">
        <v>0.99889997755777615</v>
      </c>
      <c r="D148" s="28"/>
      <c r="E148" s="28"/>
      <c r="G148" s="28"/>
      <c r="H148" s="28"/>
      <c r="K148" s="28">
        <v>0.14599999999999999</v>
      </c>
      <c r="L148" s="40">
        <f t="shared" si="2"/>
        <v>0.64391316930810316</v>
      </c>
    </row>
    <row r="149" spans="1:12" x14ac:dyDescent="0.3">
      <c r="A149" s="22">
        <v>1.47</v>
      </c>
      <c r="B149" s="40">
        <v>0.99896844837041232</v>
      </c>
      <c r="D149" s="28"/>
      <c r="E149" s="28"/>
      <c r="G149" s="28"/>
      <c r="H149" s="28"/>
      <c r="K149" s="28">
        <v>0.14699999999999999</v>
      </c>
      <c r="L149" s="40">
        <f t="shared" si="2"/>
        <v>0.64483637488027679</v>
      </c>
    </row>
    <row r="150" spans="1:12" x14ac:dyDescent="0.3">
      <c r="A150" s="22">
        <v>1.48</v>
      </c>
      <c r="B150" s="40">
        <v>0.99903327858053881</v>
      </c>
      <c r="D150" s="28"/>
      <c r="E150" s="28"/>
      <c r="G150" s="28"/>
      <c r="H150" s="28"/>
      <c r="K150" s="28">
        <v>0.14799999999999999</v>
      </c>
      <c r="L150" s="40">
        <f t="shared" si="2"/>
        <v>0.64575857488251098</v>
      </c>
    </row>
    <row r="151" spans="1:12" x14ac:dyDescent="0.3">
      <c r="A151" s="22">
        <v>1.49</v>
      </c>
      <c r="B151" s="40">
        <v>0.99909463912424001</v>
      </c>
      <c r="D151" s="28"/>
      <c r="E151" s="28"/>
      <c r="G151" s="28"/>
      <c r="H151" s="28"/>
      <c r="K151" s="28">
        <v>0.14899999999999999</v>
      </c>
      <c r="L151" s="40">
        <f t="shared" si="2"/>
        <v>0.64667973421620695</v>
      </c>
    </row>
    <row r="152" spans="1:12" x14ac:dyDescent="0.3">
      <c r="A152" s="22">
        <v>1.5</v>
      </c>
      <c r="B152" s="40">
        <v>0.99915269359597225</v>
      </c>
      <c r="D152" s="28"/>
      <c r="E152" s="28"/>
      <c r="G152" s="28"/>
      <c r="H152" s="28"/>
      <c r="K152" s="28">
        <v>0.15</v>
      </c>
      <c r="L152" s="40">
        <f t="shared" si="2"/>
        <v>0.64759984207351329</v>
      </c>
    </row>
    <row r="153" spans="1:12" x14ac:dyDescent="0.3">
      <c r="B153" s="40"/>
      <c r="D153" s="28"/>
      <c r="E153" s="28"/>
      <c r="G153" s="28"/>
      <c r="H153" s="28"/>
      <c r="K153" s="28">
        <v>0.151</v>
      </c>
      <c r="L153" s="40">
        <f t="shared" si="2"/>
        <v>0.64851896144015797</v>
      </c>
    </row>
    <row r="154" spans="1:12" x14ac:dyDescent="0.3">
      <c r="B154" s="40"/>
      <c r="D154" s="28"/>
      <c r="E154" s="28"/>
      <c r="G154" s="28"/>
      <c r="H154" s="28"/>
      <c r="K154" s="28">
        <v>0.152</v>
      </c>
      <c r="L154" s="40">
        <f t="shared" si="2"/>
        <v>0.64943703913492867</v>
      </c>
    </row>
    <row r="155" spans="1:12" x14ac:dyDescent="0.3">
      <c r="B155" s="40"/>
      <c r="D155" s="28"/>
      <c r="E155" s="28"/>
      <c r="G155" s="28"/>
      <c r="H155" s="28"/>
      <c r="K155" s="28">
        <v>0.153</v>
      </c>
      <c r="L155" s="40">
        <f t="shared" si="2"/>
        <v>0.6503540102402261</v>
      </c>
    </row>
    <row r="156" spans="1:12" x14ac:dyDescent="0.3">
      <c r="B156" s="40"/>
      <c r="D156" s="28"/>
      <c r="E156" s="28"/>
      <c r="G156" s="28"/>
      <c r="H156" s="28"/>
      <c r="K156" s="28">
        <v>0.154</v>
      </c>
      <c r="L156" s="40">
        <f t="shared" si="2"/>
        <v>0.65126998865053165</v>
      </c>
    </row>
    <row r="157" spans="1:12" x14ac:dyDescent="0.3">
      <c r="B157" s="40"/>
      <c r="D157" s="28"/>
      <c r="E157" s="28"/>
      <c r="G157" s="28"/>
      <c r="H157" s="28"/>
      <c r="K157" s="28">
        <v>0.155</v>
      </c>
      <c r="L157" s="40">
        <f t="shared" si="2"/>
        <v>0.65218490944870944</v>
      </c>
    </row>
    <row r="158" spans="1:12" x14ac:dyDescent="0.3">
      <c r="B158" s="40"/>
      <c r="D158" s="28"/>
      <c r="E158" s="28"/>
      <c r="G158" s="28"/>
      <c r="H158" s="28"/>
      <c r="K158" s="28">
        <v>0.156</v>
      </c>
      <c r="L158" s="40">
        <f t="shared" si="2"/>
        <v>0.65309873751899816</v>
      </c>
    </row>
    <row r="159" spans="1:12" x14ac:dyDescent="0.3">
      <c r="B159" s="40"/>
      <c r="D159" s="28"/>
      <c r="E159" s="28"/>
      <c r="G159" s="28"/>
      <c r="H159" s="28"/>
      <c r="K159" s="28">
        <v>0.157</v>
      </c>
      <c r="L159" s="40">
        <f t="shared" si="2"/>
        <v>0.65401149734990616</v>
      </c>
    </row>
    <row r="160" spans="1:12" x14ac:dyDescent="0.3">
      <c r="B160" s="40"/>
      <c r="D160" s="28"/>
      <c r="E160" s="28"/>
      <c r="G160" s="28"/>
      <c r="H160" s="28"/>
      <c r="K160" s="28">
        <v>0.158</v>
      </c>
      <c r="L160" s="40">
        <f t="shared" si="2"/>
        <v>0.65492319852983016</v>
      </c>
    </row>
    <row r="161" spans="2:12" x14ac:dyDescent="0.3">
      <c r="B161" s="40"/>
      <c r="D161" s="28"/>
      <c r="E161" s="28"/>
      <c r="G161" s="28"/>
      <c r="H161" s="28"/>
      <c r="K161" s="28">
        <v>0.159</v>
      </c>
      <c r="L161" s="40">
        <f t="shared" si="2"/>
        <v>0.65583382084365327</v>
      </c>
    </row>
    <row r="162" spans="2:12" x14ac:dyDescent="0.3">
      <c r="B162" s="40"/>
      <c r="D162" s="28"/>
      <c r="E162" s="28"/>
      <c r="G162" s="28"/>
      <c r="H162" s="28"/>
      <c r="K162" s="28">
        <v>0.16</v>
      </c>
      <c r="L162" s="40">
        <f t="shared" si="2"/>
        <v>0.65674334734662321</v>
      </c>
    </row>
    <row r="163" spans="2:12" x14ac:dyDescent="0.3">
      <c r="B163" s="40"/>
      <c r="D163" s="28"/>
      <c r="E163" s="28"/>
      <c r="G163" s="28"/>
      <c r="H163" s="28"/>
      <c r="K163" s="28">
        <v>0.161</v>
      </c>
      <c r="L163" s="40">
        <f t="shared" si="2"/>
        <v>0.657651785463648</v>
      </c>
    </row>
    <row r="164" spans="2:12" x14ac:dyDescent="0.3">
      <c r="B164" s="40"/>
      <c r="D164" s="28"/>
      <c r="E164" s="28"/>
      <c r="G164" s="28"/>
      <c r="H164" s="28"/>
      <c r="K164" s="28">
        <v>0.16200000000000001</v>
      </c>
      <c r="L164" s="40">
        <f t="shared" si="2"/>
        <v>0.65855918860584017</v>
      </c>
    </row>
    <row r="165" spans="2:12" x14ac:dyDescent="0.3">
      <c r="B165" s="40"/>
      <c r="D165" s="28"/>
      <c r="E165" s="28"/>
      <c r="G165" s="28"/>
      <c r="H165" s="28"/>
      <c r="K165" s="28">
        <v>0.16300000000000001</v>
      </c>
      <c r="L165" s="40">
        <f t="shared" si="2"/>
        <v>0.65946540267867115</v>
      </c>
    </row>
    <row r="166" spans="2:12" x14ac:dyDescent="0.3">
      <c r="B166" s="40"/>
      <c r="D166" s="28"/>
      <c r="E166" s="28"/>
      <c r="G166" s="28"/>
      <c r="H166" s="28"/>
      <c r="K166" s="28">
        <v>0.16400000000000001</v>
      </c>
      <c r="L166" s="40">
        <f t="shared" si="2"/>
        <v>0.6603705418044874</v>
      </c>
    </row>
    <row r="167" spans="2:12" x14ac:dyDescent="0.3">
      <c r="B167" s="40"/>
      <c r="D167" s="28"/>
      <c r="E167" s="28"/>
      <c r="G167" s="28"/>
      <c r="H167" s="28"/>
      <c r="K167" s="28">
        <v>0.16500000000000001</v>
      </c>
      <c r="L167" s="40">
        <f t="shared" si="2"/>
        <v>0.66127457109570686</v>
      </c>
    </row>
    <row r="168" spans="2:12" x14ac:dyDescent="0.3">
      <c r="B168" s="40"/>
      <c r="D168" s="28"/>
      <c r="E168" s="28"/>
      <c r="G168" s="28"/>
      <c r="H168" s="28"/>
      <c r="K168" s="28">
        <v>0.16600000000000001</v>
      </c>
      <c r="L168" s="40">
        <f t="shared" si="2"/>
        <v>0.6621774854670911</v>
      </c>
    </row>
    <row r="169" spans="2:12" x14ac:dyDescent="0.3">
      <c r="B169" s="40"/>
      <c r="D169" s="28"/>
      <c r="E169" s="28"/>
      <c r="G169" s="28"/>
      <c r="H169" s="28"/>
      <c r="K169" s="28">
        <v>0.16700000000000001</v>
      </c>
      <c r="L169" s="40">
        <f t="shared" si="2"/>
        <v>0.6630792947339138</v>
      </c>
    </row>
    <row r="170" spans="2:12" x14ac:dyDescent="0.3">
      <c r="B170" s="40"/>
      <c r="D170" s="28"/>
      <c r="E170" s="28"/>
      <c r="G170" s="28"/>
      <c r="H170" s="28"/>
      <c r="K170" s="28">
        <v>0.16800000000000001</v>
      </c>
      <c r="L170" s="40">
        <f t="shared" si="2"/>
        <v>0.66397996400906856</v>
      </c>
    </row>
    <row r="171" spans="2:12" x14ac:dyDescent="0.3">
      <c r="B171" s="40"/>
      <c r="D171" s="28"/>
      <c r="E171" s="28"/>
      <c r="G171" s="28"/>
      <c r="H171" s="28"/>
      <c r="K171" s="28">
        <v>0.16900000000000001</v>
      </c>
      <c r="L171" s="40">
        <f t="shared" si="2"/>
        <v>0.66487951055826122</v>
      </c>
    </row>
    <row r="172" spans="2:12" x14ac:dyDescent="0.3">
      <c r="B172" s="40"/>
      <c r="D172" s="28"/>
      <c r="E172" s="28"/>
      <c r="G172" s="28"/>
      <c r="H172" s="28"/>
      <c r="K172" s="28">
        <v>0.17</v>
      </c>
      <c r="L172" s="40">
        <f t="shared" si="2"/>
        <v>0.66577786062777833</v>
      </c>
    </row>
    <row r="173" spans="2:12" x14ac:dyDescent="0.3">
      <c r="B173" s="40"/>
      <c r="D173" s="28"/>
      <c r="E173" s="28"/>
      <c r="G173" s="28"/>
      <c r="H173" s="28"/>
      <c r="K173" s="28">
        <v>0.17100000000000001</v>
      </c>
      <c r="L173" s="40">
        <f t="shared" si="2"/>
        <v>0.66667515356338691</v>
      </c>
    </row>
    <row r="174" spans="2:12" x14ac:dyDescent="0.3">
      <c r="B174" s="40"/>
      <c r="D174" s="28"/>
      <c r="E174" s="28"/>
      <c r="G174" s="28"/>
      <c r="H174" s="28"/>
      <c r="K174" s="28">
        <v>0.17200000000000001</v>
      </c>
      <c r="L174" s="40">
        <f t="shared" si="2"/>
        <v>0.66757130184942304</v>
      </c>
    </row>
    <row r="175" spans="2:12" x14ac:dyDescent="0.3">
      <c r="B175" s="40"/>
      <c r="D175" s="28"/>
      <c r="E175" s="28"/>
      <c r="G175" s="28"/>
      <c r="H175" s="28"/>
      <c r="K175" s="28">
        <v>0.17300000000000001</v>
      </c>
      <c r="L175" s="40">
        <f t="shared" si="2"/>
        <v>0.66846630118306172</v>
      </c>
    </row>
    <row r="176" spans="2:12" x14ac:dyDescent="0.3">
      <c r="B176" s="40"/>
      <c r="D176" s="28"/>
      <c r="E176" s="28"/>
      <c r="G176" s="28"/>
      <c r="H176" s="28"/>
      <c r="K176" s="28">
        <v>0.17400000000000002</v>
      </c>
      <c r="L176" s="40">
        <f t="shared" si="2"/>
        <v>0.66936011745720725</v>
      </c>
    </row>
    <row r="177" spans="2:12" x14ac:dyDescent="0.3">
      <c r="B177" s="40"/>
      <c r="D177" s="28"/>
      <c r="E177" s="28"/>
      <c r="G177" s="28"/>
      <c r="H177" s="28"/>
      <c r="K177" s="28">
        <v>0.17500000000000002</v>
      </c>
      <c r="L177" s="40">
        <f t="shared" si="2"/>
        <v>0.67025274636870613</v>
      </c>
    </row>
    <row r="178" spans="2:12" x14ac:dyDescent="0.3">
      <c r="B178" s="40"/>
      <c r="D178" s="28"/>
      <c r="E178" s="28"/>
      <c r="G178" s="28"/>
      <c r="H178" s="28"/>
      <c r="K178" s="28">
        <v>0.17599999999999999</v>
      </c>
      <c r="L178" s="40">
        <f t="shared" si="2"/>
        <v>0.67114427302195923</v>
      </c>
    </row>
    <row r="179" spans="2:12" x14ac:dyDescent="0.3">
      <c r="B179" s="40"/>
      <c r="D179" s="28"/>
      <c r="E179" s="28"/>
      <c r="G179" s="28"/>
      <c r="H179" s="28"/>
      <c r="K179" s="28">
        <v>0.17699999999999999</v>
      </c>
      <c r="L179" s="40">
        <f t="shared" si="2"/>
        <v>0.6720346186070707</v>
      </c>
    </row>
    <row r="180" spans="2:12" x14ac:dyDescent="0.3">
      <c r="B180" s="40"/>
      <c r="D180" s="28"/>
      <c r="E180" s="28"/>
      <c r="G180" s="28"/>
      <c r="H180" s="28"/>
      <c r="K180" s="28">
        <v>0.17799999999999999</v>
      </c>
      <c r="L180" s="40">
        <f t="shared" si="2"/>
        <v>0.67292377882166676</v>
      </c>
    </row>
    <row r="181" spans="2:12" x14ac:dyDescent="0.3">
      <c r="B181" s="40"/>
      <c r="D181" s="28"/>
      <c r="E181" s="28"/>
      <c r="G181" s="28"/>
      <c r="H181" s="28"/>
      <c r="K181" s="28">
        <v>0.17899999999999999</v>
      </c>
      <c r="L181" s="40">
        <f t="shared" si="2"/>
        <v>0.67381177171366469</v>
      </c>
    </row>
    <row r="182" spans="2:12" x14ac:dyDescent="0.3">
      <c r="B182" s="40"/>
      <c r="D182" s="28"/>
      <c r="E182" s="28"/>
      <c r="G182" s="28"/>
      <c r="H182" s="28"/>
      <c r="K182" s="28">
        <v>0.18</v>
      </c>
      <c r="L182" s="40">
        <f t="shared" si="2"/>
        <v>0.6746985791482103</v>
      </c>
    </row>
    <row r="183" spans="2:12" x14ac:dyDescent="0.3">
      <c r="B183" s="40"/>
      <c r="D183" s="28"/>
      <c r="E183" s="28"/>
      <c r="G183" s="28"/>
      <c r="H183" s="28"/>
      <c r="K183" s="28">
        <v>0.18099999999999999</v>
      </c>
      <c r="L183" s="40">
        <f t="shared" si="2"/>
        <v>0.67558423654509636</v>
      </c>
    </row>
    <row r="184" spans="2:12" x14ac:dyDescent="0.3">
      <c r="B184" s="40"/>
      <c r="D184" s="28"/>
      <c r="E184" s="28"/>
      <c r="G184" s="28"/>
      <c r="H184" s="28"/>
      <c r="K184" s="28">
        <v>0.182</v>
      </c>
      <c r="L184" s="40">
        <f t="shared" si="2"/>
        <v>0.67646864615495517</v>
      </c>
    </row>
    <row r="185" spans="2:12" x14ac:dyDescent="0.3">
      <c r="B185" s="40"/>
      <c r="D185" s="28"/>
      <c r="E185" s="28"/>
      <c r="G185" s="28"/>
      <c r="H185" s="28"/>
      <c r="K185" s="28">
        <v>0.183</v>
      </c>
      <c r="L185" s="40">
        <f t="shared" si="2"/>
        <v>0.67735189258201944</v>
      </c>
    </row>
    <row r="186" spans="2:12" x14ac:dyDescent="0.3">
      <c r="B186" s="40"/>
      <c r="D186" s="28"/>
      <c r="E186" s="28"/>
      <c r="G186" s="28"/>
      <c r="H186" s="28"/>
      <c r="K186" s="28">
        <v>0.184</v>
      </c>
      <c r="L186" s="40">
        <f t="shared" si="2"/>
        <v>0.67823394121911573</v>
      </c>
    </row>
    <row r="187" spans="2:12" x14ac:dyDescent="0.3">
      <c r="B187" s="40"/>
      <c r="D187" s="28"/>
      <c r="E187" s="28"/>
      <c r="G187" s="28"/>
      <c r="H187" s="28"/>
      <c r="K187" s="28">
        <v>0.185</v>
      </c>
      <c r="L187" s="40">
        <f t="shared" si="2"/>
        <v>0.67911478726403873</v>
      </c>
    </row>
    <row r="188" spans="2:12" x14ac:dyDescent="0.3">
      <c r="B188" s="40"/>
      <c r="D188" s="28"/>
      <c r="E188" s="28"/>
      <c r="G188" s="28"/>
      <c r="H188" s="28"/>
      <c r="K188" s="28">
        <v>0.186</v>
      </c>
      <c r="L188" s="40">
        <f t="shared" si="2"/>
        <v>0.67999445571582329</v>
      </c>
    </row>
    <row r="189" spans="2:12" x14ac:dyDescent="0.3">
      <c r="B189" s="40"/>
      <c r="D189" s="28"/>
      <c r="E189" s="28"/>
      <c r="G189" s="28"/>
      <c r="H189" s="28"/>
      <c r="K189" s="28">
        <v>0.187</v>
      </c>
      <c r="L189" s="40">
        <f t="shared" si="2"/>
        <v>0.68087286726494733</v>
      </c>
    </row>
    <row r="190" spans="2:12" x14ac:dyDescent="0.3">
      <c r="B190" s="40"/>
      <c r="D190" s="28"/>
      <c r="E190" s="28"/>
      <c r="G190" s="28"/>
      <c r="H190" s="28"/>
      <c r="K190" s="28">
        <v>0.188</v>
      </c>
      <c r="L190" s="40">
        <f t="shared" si="2"/>
        <v>0.68175007671353849</v>
      </c>
    </row>
    <row r="191" spans="2:12" x14ac:dyDescent="0.3">
      <c r="B191" s="40"/>
      <c r="D191" s="28"/>
      <c r="E191" s="28"/>
      <c r="G191" s="28"/>
      <c r="H191" s="28"/>
      <c r="K191" s="28">
        <v>0.189</v>
      </c>
      <c r="L191" s="40">
        <f t="shared" si="2"/>
        <v>0.68262607180713819</v>
      </c>
    </row>
    <row r="192" spans="2:12" x14ac:dyDescent="0.3">
      <c r="B192" s="40"/>
      <c r="D192" s="28"/>
      <c r="E192" s="28"/>
      <c r="G192" s="28"/>
      <c r="H192" s="28"/>
      <c r="K192" s="28">
        <v>0.19</v>
      </c>
      <c r="L192" s="40">
        <f t="shared" si="2"/>
        <v>0.68350081258819906</v>
      </c>
    </row>
    <row r="193" spans="2:12" x14ac:dyDescent="0.3">
      <c r="B193" s="40"/>
      <c r="K193" s="28">
        <v>0.191</v>
      </c>
      <c r="L193" s="40">
        <f t="shared" si="2"/>
        <v>0.68437437249539779</v>
      </c>
    </row>
    <row r="194" spans="2:12" x14ac:dyDescent="0.3">
      <c r="K194" s="28">
        <v>0.192</v>
      </c>
      <c r="L194" s="40">
        <f t="shared" si="2"/>
        <v>0.68524669716836684</v>
      </c>
    </row>
    <row r="195" spans="2:12" x14ac:dyDescent="0.3">
      <c r="K195" s="28">
        <v>0.193</v>
      </c>
      <c r="L195" s="40">
        <f t="shared" ref="L195:L258" si="3">cubic_Spline($A$2:$A$152,$B$2:$B$152,K195)</f>
        <v>0.68611772318442299</v>
      </c>
    </row>
    <row r="196" spans="2:12" x14ac:dyDescent="0.3">
      <c r="K196" s="28">
        <v>0.19400000000000001</v>
      </c>
      <c r="L196" s="40">
        <f t="shared" si="3"/>
        <v>0.68698750632562167</v>
      </c>
    </row>
    <row r="197" spans="2:12" x14ac:dyDescent="0.3">
      <c r="K197" s="28">
        <v>0.19500000000000001</v>
      </c>
      <c r="L197" s="40">
        <f t="shared" si="3"/>
        <v>0.68785607257344528</v>
      </c>
    </row>
    <row r="198" spans="2:12" x14ac:dyDescent="0.3">
      <c r="K198" s="28">
        <v>0.19600000000000001</v>
      </c>
      <c r="L198" s="40">
        <f t="shared" si="3"/>
        <v>0.68872341810768989</v>
      </c>
    </row>
    <row r="199" spans="2:12" x14ac:dyDescent="0.3">
      <c r="K199" s="28">
        <v>0.19700000000000001</v>
      </c>
      <c r="L199" s="40">
        <f t="shared" si="3"/>
        <v>0.68958946460069448</v>
      </c>
    </row>
    <row r="200" spans="2:12" x14ac:dyDescent="0.3">
      <c r="K200" s="28">
        <v>0.19800000000000001</v>
      </c>
      <c r="L200" s="40">
        <f t="shared" si="3"/>
        <v>0.69045428273826892</v>
      </c>
    </row>
    <row r="201" spans="2:12" x14ac:dyDescent="0.3">
      <c r="K201" s="28">
        <v>0.19900000000000001</v>
      </c>
      <c r="L201" s="40">
        <f t="shared" si="3"/>
        <v>0.69131781654478441</v>
      </c>
    </row>
    <row r="202" spans="2:12" x14ac:dyDescent="0.3">
      <c r="K202" s="28">
        <v>0.2</v>
      </c>
      <c r="L202" s="40">
        <f t="shared" si="3"/>
        <v>0.69218012666534168</v>
      </c>
    </row>
    <row r="203" spans="2:12" x14ac:dyDescent="0.3">
      <c r="K203" s="28">
        <v>0.20100000000000001</v>
      </c>
      <c r="L203" s="40">
        <f t="shared" si="3"/>
        <v>0.69304111002788504</v>
      </c>
    </row>
    <row r="204" spans="2:12" x14ac:dyDescent="0.3">
      <c r="K204" s="28">
        <v>0.20200000000000001</v>
      </c>
      <c r="L204" s="40">
        <f t="shared" si="3"/>
        <v>0.69390087965292424</v>
      </c>
    </row>
    <row r="205" spans="2:12" x14ac:dyDescent="0.3">
      <c r="K205" s="28">
        <v>0.20300000000000001</v>
      </c>
      <c r="L205" s="40">
        <f t="shared" si="3"/>
        <v>0.69475928281291743</v>
      </c>
    </row>
    <row r="206" spans="2:12" x14ac:dyDescent="0.3">
      <c r="K206" s="28">
        <v>0.20400000000000001</v>
      </c>
      <c r="L206" s="40">
        <f t="shared" si="3"/>
        <v>0.69561646479875405</v>
      </c>
    </row>
    <row r="207" spans="2:12" x14ac:dyDescent="0.3">
      <c r="K207" s="28">
        <v>0.20500000000000002</v>
      </c>
      <c r="L207" s="40">
        <f t="shared" si="3"/>
        <v>0.69647236228790466</v>
      </c>
    </row>
    <row r="208" spans="2:12" x14ac:dyDescent="0.3">
      <c r="K208" s="28">
        <v>0.20600000000000002</v>
      </c>
      <c r="L208" s="40">
        <f t="shared" si="3"/>
        <v>0.6973269715613245</v>
      </c>
    </row>
    <row r="209" spans="11:12" x14ac:dyDescent="0.3">
      <c r="K209" s="28">
        <v>0.20700000000000002</v>
      </c>
      <c r="L209" s="40">
        <f t="shared" si="3"/>
        <v>0.69818027399834681</v>
      </c>
    </row>
    <row r="210" spans="11:12" x14ac:dyDescent="0.3">
      <c r="K210" s="28">
        <v>0.20800000000000002</v>
      </c>
      <c r="L210" s="40">
        <f t="shared" si="3"/>
        <v>0.69903229568307523</v>
      </c>
    </row>
    <row r="211" spans="11:12" x14ac:dyDescent="0.3">
      <c r="K211" s="28">
        <v>0.20899999999999999</v>
      </c>
      <c r="L211" s="40">
        <f t="shared" si="3"/>
        <v>0.69988300309350648</v>
      </c>
    </row>
    <row r="212" spans="11:12" x14ac:dyDescent="0.3">
      <c r="K212" s="28">
        <v>0.21</v>
      </c>
      <c r="L212" s="40">
        <f t="shared" si="3"/>
        <v>0.7007323981175404</v>
      </c>
    </row>
    <row r="213" spans="11:12" x14ac:dyDescent="0.3">
      <c r="K213" s="28">
        <v>0.21099999999999999</v>
      </c>
      <c r="L213" s="40">
        <f t="shared" si="3"/>
        <v>0.70158052018887407</v>
      </c>
    </row>
    <row r="214" spans="11:12" x14ac:dyDescent="0.3">
      <c r="K214" s="28">
        <v>0.21199999999999999</v>
      </c>
      <c r="L214" s="40">
        <f t="shared" si="3"/>
        <v>0.70242733181878114</v>
      </c>
    </row>
    <row r="215" spans="11:12" x14ac:dyDescent="0.3">
      <c r="K215" s="28">
        <v>0.21299999999999999</v>
      </c>
      <c r="L215" s="40">
        <f t="shared" si="3"/>
        <v>0.70327279957902689</v>
      </c>
    </row>
    <row r="216" spans="11:12" x14ac:dyDescent="0.3">
      <c r="K216" s="28">
        <v>0.214</v>
      </c>
      <c r="L216" s="40">
        <f t="shared" si="3"/>
        <v>0.7041169496411922</v>
      </c>
    </row>
    <row r="217" spans="11:12" x14ac:dyDescent="0.3">
      <c r="K217" s="28">
        <v>0.215</v>
      </c>
      <c r="L217" s="40">
        <f t="shared" si="3"/>
        <v>0.70495980817887616</v>
      </c>
    </row>
    <row r="218" spans="11:12" x14ac:dyDescent="0.3">
      <c r="K218" s="28">
        <v>0.216</v>
      </c>
      <c r="L218" s="40">
        <f t="shared" si="3"/>
        <v>0.70580134176105969</v>
      </c>
    </row>
    <row r="219" spans="11:12" x14ac:dyDescent="0.3">
      <c r="K219" s="28">
        <v>0.217</v>
      </c>
      <c r="L219" s="40">
        <f t="shared" si="3"/>
        <v>0.70664150205478338</v>
      </c>
    </row>
    <row r="220" spans="11:12" x14ac:dyDescent="0.3">
      <c r="K220" s="28">
        <v>0.218</v>
      </c>
      <c r="L220" s="40">
        <f t="shared" si="3"/>
        <v>0.70748037483886239</v>
      </c>
    </row>
    <row r="221" spans="11:12" x14ac:dyDescent="0.3">
      <c r="K221" s="28">
        <v>0.219</v>
      </c>
      <c r="L221" s="40">
        <f t="shared" si="3"/>
        <v>0.70831788942841711</v>
      </c>
    </row>
    <row r="222" spans="11:12" x14ac:dyDescent="0.3">
      <c r="K222" s="28">
        <v>0.22</v>
      </c>
      <c r="L222" s="40">
        <f t="shared" si="3"/>
        <v>0.70915409535274432</v>
      </c>
    </row>
    <row r="223" spans="11:12" x14ac:dyDescent="0.3">
      <c r="K223" s="28">
        <v>0.221</v>
      </c>
      <c r="L223" s="40">
        <f t="shared" si="3"/>
        <v>0.70998890166847772</v>
      </c>
    </row>
    <row r="224" spans="11:12" x14ac:dyDescent="0.3">
      <c r="K224" s="28">
        <v>0.222</v>
      </c>
      <c r="L224" s="40">
        <f t="shared" si="3"/>
        <v>0.71082242134095175</v>
      </c>
    </row>
    <row r="225" spans="11:12" x14ac:dyDescent="0.3">
      <c r="K225" s="28">
        <v>0.223</v>
      </c>
      <c r="L225" s="40">
        <f t="shared" si="3"/>
        <v>0.71165456182049058</v>
      </c>
    </row>
    <row r="226" spans="11:12" x14ac:dyDescent="0.3">
      <c r="K226" s="28">
        <v>0.224</v>
      </c>
      <c r="L226" s="40">
        <f t="shared" si="3"/>
        <v>0.7124853199594221</v>
      </c>
    </row>
    <row r="227" spans="11:12" x14ac:dyDescent="0.3">
      <c r="K227" s="28">
        <v>0.22500000000000001</v>
      </c>
      <c r="L227" s="40">
        <f t="shared" si="3"/>
        <v>0.7133147522166271</v>
      </c>
    </row>
    <row r="228" spans="11:12" x14ac:dyDescent="0.3">
      <c r="K228" s="28">
        <v>0.22600000000000001</v>
      </c>
      <c r="L228" s="40">
        <f t="shared" si="3"/>
        <v>0.71414285544703537</v>
      </c>
    </row>
    <row r="229" spans="11:12" x14ac:dyDescent="0.3">
      <c r="K229" s="28">
        <v>0.22700000000000001</v>
      </c>
      <c r="L229" s="40">
        <f t="shared" si="3"/>
        <v>0.71496955199796941</v>
      </c>
    </row>
    <row r="230" spans="11:12" x14ac:dyDescent="0.3">
      <c r="K230" s="28">
        <v>0.22800000000000001</v>
      </c>
      <c r="L230" s="40">
        <f t="shared" si="3"/>
        <v>0.71579491323039179</v>
      </c>
    </row>
    <row r="231" spans="11:12" x14ac:dyDescent="0.3">
      <c r="K231" s="28">
        <v>0.22900000000000001</v>
      </c>
      <c r="L231" s="40">
        <f t="shared" si="3"/>
        <v>0.71661889129426448</v>
      </c>
    </row>
    <row r="232" spans="11:12" x14ac:dyDescent="0.3">
      <c r="K232" s="28">
        <v>0.23</v>
      </c>
      <c r="L232" s="40">
        <f t="shared" si="3"/>
        <v>0.71744155408885224</v>
      </c>
    </row>
    <row r="233" spans="11:12" x14ac:dyDescent="0.3">
      <c r="K233" s="28">
        <v>0.23100000000000001</v>
      </c>
      <c r="L233" s="40">
        <f t="shared" si="3"/>
        <v>0.71826274371367249</v>
      </c>
    </row>
    <row r="234" spans="11:12" x14ac:dyDescent="0.3">
      <c r="K234" s="28">
        <v>0.23200000000000001</v>
      </c>
      <c r="L234" s="40">
        <f t="shared" si="3"/>
        <v>0.71908261571223098</v>
      </c>
    </row>
    <row r="235" spans="11:12" x14ac:dyDescent="0.3">
      <c r="K235" s="28">
        <v>0.23300000000000001</v>
      </c>
      <c r="L235" s="40">
        <f t="shared" si="3"/>
        <v>0.71990104820890288</v>
      </c>
    </row>
    <row r="236" spans="11:12" x14ac:dyDescent="0.3">
      <c r="K236" s="28">
        <v>0.23400000000000001</v>
      </c>
      <c r="L236" s="40">
        <f t="shared" si="3"/>
        <v>0.72071815774145387</v>
      </c>
    </row>
    <row r="237" spans="11:12" x14ac:dyDescent="0.3">
      <c r="K237" s="28">
        <v>0.23500000000000001</v>
      </c>
      <c r="L237" s="40">
        <f t="shared" si="3"/>
        <v>0.72153388203678714</v>
      </c>
    </row>
    <row r="238" spans="11:12" x14ac:dyDescent="0.3">
      <c r="K238" s="28">
        <v>0.23600000000000002</v>
      </c>
      <c r="L238" s="40">
        <f t="shared" si="3"/>
        <v>0.72234818862287253</v>
      </c>
    </row>
    <row r="239" spans="11:12" x14ac:dyDescent="0.3">
      <c r="K239" s="28">
        <v>0.23700000000000002</v>
      </c>
      <c r="L239" s="40">
        <f t="shared" si="3"/>
        <v>0.72316111953298734</v>
      </c>
    </row>
    <row r="240" spans="11:12" x14ac:dyDescent="0.3">
      <c r="K240" s="28">
        <v>0.23800000000000002</v>
      </c>
      <c r="L240" s="40">
        <f t="shared" si="3"/>
        <v>0.72397265719715653</v>
      </c>
    </row>
    <row r="241" spans="11:12" x14ac:dyDescent="0.3">
      <c r="K241" s="28">
        <v>0.23900000000000002</v>
      </c>
      <c r="L241" s="40">
        <f t="shared" si="3"/>
        <v>0.72478280639556669</v>
      </c>
    </row>
    <row r="242" spans="11:12" x14ac:dyDescent="0.3">
      <c r="K242" s="28">
        <v>0.24</v>
      </c>
      <c r="L242" s="40">
        <f t="shared" si="3"/>
        <v>0.72559151667620125</v>
      </c>
    </row>
    <row r="243" spans="11:12" x14ac:dyDescent="0.3">
      <c r="K243" s="28">
        <v>0.24099999999999999</v>
      </c>
      <c r="L243" s="40">
        <f t="shared" si="3"/>
        <v>0.72639885553063965</v>
      </c>
    </row>
    <row r="244" spans="11:12" x14ac:dyDescent="0.3">
      <c r="K244" s="28">
        <v>0.24199999999999999</v>
      </c>
      <c r="L244" s="40">
        <f t="shared" si="3"/>
        <v>0.72720484996046941</v>
      </c>
    </row>
    <row r="245" spans="11:12" x14ac:dyDescent="0.3">
      <c r="K245" s="28">
        <v>0.24299999999999999</v>
      </c>
      <c r="L245" s="40">
        <f t="shared" si="3"/>
        <v>0.72800937798750087</v>
      </c>
    </row>
    <row r="246" spans="11:12" x14ac:dyDescent="0.3">
      <c r="K246" s="28">
        <v>0.24399999999999999</v>
      </c>
      <c r="L246" s="40">
        <f t="shared" si="3"/>
        <v>0.72881246663997823</v>
      </c>
    </row>
    <row r="247" spans="11:12" x14ac:dyDescent="0.3">
      <c r="K247" s="28">
        <v>0.245</v>
      </c>
      <c r="L247" s="40">
        <f t="shared" si="3"/>
        <v>0.72961417275063234</v>
      </c>
    </row>
    <row r="248" spans="11:12" x14ac:dyDescent="0.3">
      <c r="K248" s="28">
        <v>0.246</v>
      </c>
      <c r="L248" s="40">
        <f t="shared" si="3"/>
        <v>0.7304144935475777</v>
      </c>
    </row>
    <row r="249" spans="11:12" x14ac:dyDescent="0.3">
      <c r="K249" s="28">
        <v>0.247</v>
      </c>
      <c r="L249" s="40">
        <f t="shared" si="3"/>
        <v>0.73121335175228708</v>
      </c>
    </row>
    <row r="250" spans="11:12" x14ac:dyDescent="0.3">
      <c r="K250" s="28">
        <v>0.248</v>
      </c>
      <c r="L250" s="40">
        <f t="shared" si="3"/>
        <v>0.73201081909926524</v>
      </c>
    </row>
    <row r="251" spans="11:12" x14ac:dyDescent="0.3">
      <c r="K251" s="28">
        <v>0.249</v>
      </c>
      <c r="L251" s="40">
        <f t="shared" si="3"/>
        <v>0.73280684811211638</v>
      </c>
    </row>
    <row r="252" spans="11:12" x14ac:dyDescent="0.3">
      <c r="K252" s="28">
        <v>0.25</v>
      </c>
      <c r="L252" s="40">
        <f t="shared" si="3"/>
        <v>0.73360145092010498</v>
      </c>
    </row>
    <row r="253" spans="11:12" x14ac:dyDescent="0.3">
      <c r="K253" s="28">
        <v>0.251</v>
      </c>
      <c r="L253" s="40">
        <f t="shared" si="3"/>
        <v>0.73439463836507146</v>
      </c>
    </row>
    <row r="254" spans="11:12" x14ac:dyDescent="0.3">
      <c r="K254" s="28">
        <v>0.252</v>
      </c>
      <c r="L254" s="40">
        <f t="shared" si="3"/>
        <v>0.73518639464162616</v>
      </c>
    </row>
    <row r="255" spans="11:12" x14ac:dyDescent="0.3">
      <c r="K255" s="28">
        <v>0.253</v>
      </c>
      <c r="L255" s="40">
        <f t="shared" si="3"/>
        <v>0.73597665795405176</v>
      </c>
    </row>
    <row r="256" spans="11:12" x14ac:dyDescent="0.3">
      <c r="K256" s="28">
        <v>0.254</v>
      </c>
      <c r="L256" s="40">
        <f t="shared" si="3"/>
        <v>0.73676554531800964</v>
      </c>
    </row>
    <row r="257" spans="11:12" x14ac:dyDescent="0.3">
      <c r="K257" s="28">
        <v>0.255</v>
      </c>
      <c r="L257" s="40">
        <f t="shared" si="3"/>
        <v>0.73755299493842175</v>
      </c>
    </row>
    <row r="258" spans="11:12" x14ac:dyDescent="0.3">
      <c r="K258" s="28">
        <v>0.25600000000000001</v>
      </c>
      <c r="L258" s="40">
        <f t="shared" si="3"/>
        <v>0.73833900462354785</v>
      </c>
    </row>
    <row r="259" spans="11:12" x14ac:dyDescent="0.3">
      <c r="K259" s="28">
        <v>0.25700000000000001</v>
      </c>
      <c r="L259" s="40">
        <f t="shared" ref="L259:L322" si="4">cubic_Spline($A$2:$A$152,$B$2:$B$152,K259)</f>
        <v>0.73912355727996903</v>
      </c>
    </row>
    <row r="260" spans="11:12" x14ac:dyDescent="0.3">
      <c r="K260" s="28">
        <v>0.25800000000000001</v>
      </c>
      <c r="L260" s="40">
        <f t="shared" si="4"/>
        <v>0.73990668051919739</v>
      </c>
    </row>
    <row r="261" spans="11:12" x14ac:dyDescent="0.3">
      <c r="K261" s="28">
        <v>0.25900000000000001</v>
      </c>
      <c r="L261" s="40">
        <f t="shared" si="4"/>
        <v>0.74068834234645764</v>
      </c>
    </row>
    <row r="262" spans="11:12" x14ac:dyDescent="0.3">
      <c r="K262" s="28">
        <v>0.26</v>
      </c>
      <c r="L262" s="40">
        <f t="shared" si="4"/>
        <v>0.74146854807088169</v>
      </c>
    </row>
    <row r="263" spans="11:12" x14ac:dyDescent="0.3">
      <c r="K263" s="28">
        <v>0.26100000000000001</v>
      </c>
      <c r="L263" s="40">
        <f t="shared" si="4"/>
        <v>0.74224733152513633</v>
      </c>
    </row>
    <row r="264" spans="11:12" x14ac:dyDescent="0.3">
      <c r="K264" s="28">
        <v>0.26200000000000001</v>
      </c>
      <c r="L264" s="40">
        <f t="shared" si="4"/>
        <v>0.74302466218334251</v>
      </c>
    </row>
    <row r="265" spans="11:12" x14ac:dyDescent="0.3">
      <c r="K265" s="28">
        <v>0.26300000000000001</v>
      </c>
      <c r="L265" s="40">
        <f t="shared" si="4"/>
        <v>0.74380047853903608</v>
      </c>
    </row>
    <row r="266" spans="11:12" x14ac:dyDescent="0.3">
      <c r="K266" s="28">
        <v>0.26400000000000001</v>
      </c>
      <c r="L266" s="40">
        <f t="shared" si="4"/>
        <v>0.74457489789709208</v>
      </c>
    </row>
    <row r="267" spans="11:12" x14ac:dyDescent="0.3">
      <c r="K267" s="28">
        <v>0.26500000000000001</v>
      </c>
      <c r="L267" s="40">
        <f t="shared" si="4"/>
        <v>0.74534782894937235</v>
      </c>
    </row>
    <row r="268" spans="11:12" x14ac:dyDescent="0.3">
      <c r="K268" s="28">
        <v>0.26600000000000001</v>
      </c>
      <c r="L268" s="40">
        <f t="shared" si="4"/>
        <v>0.74611932939802461</v>
      </c>
    </row>
    <row r="269" spans="11:12" x14ac:dyDescent="0.3">
      <c r="K269" s="28">
        <v>0.26700000000000002</v>
      </c>
      <c r="L269" s="40">
        <f t="shared" si="4"/>
        <v>0.7468893377353808</v>
      </c>
    </row>
    <row r="270" spans="11:12" x14ac:dyDescent="0.3">
      <c r="K270" s="28">
        <v>0.26800000000000002</v>
      </c>
      <c r="L270" s="40">
        <f t="shared" si="4"/>
        <v>0.74765791166453233</v>
      </c>
    </row>
    <row r="271" spans="11:12" x14ac:dyDescent="0.3">
      <c r="K271" s="28">
        <v>0.26900000000000002</v>
      </c>
      <c r="L271" s="40">
        <f t="shared" si="4"/>
        <v>0.74842499712819388</v>
      </c>
    </row>
    <row r="272" spans="11:12" x14ac:dyDescent="0.3">
      <c r="K272" s="28">
        <v>0.27</v>
      </c>
      <c r="L272" s="40">
        <f t="shared" si="4"/>
        <v>0.74919059138750532</v>
      </c>
    </row>
    <row r="273" spans="11:12" x14ac:dyDescent="0.3">
      <c r="K273" s="28">
        <v>0.27100000000000002</v>
      </c>
      <c r="L273" s="40">
        <f t="shared" si="4"/>
        <v>0.74995477439218194</v>
      </c>
    </row>
    <row r="274" spans="11:12" x14ac:dyDescent="0.3">
      <c r="K274" s="28">
        <v>0.27200000000000002</v>
      </c>
      <c r="L274" s="40">
        <f t="shared" si="4"/>
        <v>0.75071748575479824</v>
      </c>
    </row>
    <row r="275" spans="11:12" x14ac:dyDescent="0.3">
      <c r="K275" s="28">
        <v>0.27300000000000002</v>
      </c>
      <c r="L275" s="40">
        <f t="shared" si="4"/>
        <v>0.75147866414733699</v>
      </c>
    </row>
    <row r="276" spans="11:12" x14ac:dyDescent="0.3">
      <c r="K276" s="28">
        <v>0.27400000000000002</v>
      </c>
      <c r="L276" s="40">
        <f t="shared" si="4"/>
        <v>0.75223839725076413</v>
      </c>
    </row>
    <row r="277" spans="11:12" x14ac:dyDescent="0.3">
      <c r="K277" s="28">
        <v>0.27500000000000002</v>
      </c>
      <c r="L277" s="40">
        <f t="shared" si="4"/>
        <v>0.75299665354004164</v>
      </c>
    </row>
    <row r="278" spans="11:12" x14ac:dyDescent="0.3">
      <c r="K278" s="28">
        <v>0.27600000000000002</v>
      </c>
      <c r="L278" s="40">
        <f t="shared" si="4"/>
        <v>0.75375343129111094</v>
      </c>
    </row>
    <row r="279" spans="11:12" x14ac:dyDescent="0.3">
      <c r="K279" s="28">
        <v>0.27700000000000002</v>
      </c>
      <c r="L279" s="40">
        <f t="shared" si="4"/>
        <v>0.75450872877937958</v>
      </c>
    </row>
    <row r="280" spans="11:12" x14ac:dyDescent="0.3">
      <c r="K280" s="28">
        <v>0.27800000000000002</v>
      </c>
      <c r="L280" s="40">
        <f t="shared" si="4"/>
        <v>0.75526254428174544</v>
      </c>
    </row>
    <row r="281" spans="11:12" x14ac:dyDescent="0.3">
      <c r="K281" s="28">
        <v>0.27900000000000003</v>
      </c>
      <c r="L281" s="40">
        <f t="shared" si="4"/>
        <v>0.75601487607341566</v>
      </c>
    </row>
    <row r="282" spans="11:12" x14ac:dyDescent="0.3">
      <c r="K282" s="28">
        <v>0.28000000000000003</v>
      </c>
      <c r="L282" s="40">
        <f t="shared" si="4"/>
        <v>0.75676575132996327</v>
      </c>
    </row>
    <row r="283" spans="11:12" x14ac:dyDescent="0.3">
      <c r="K283" s="28">
        <v>0.28100000000000003</v>
      </c>
      <c r="L283" s="40">
        <f t="shared" si="4"/>
        <v>0.7575150755502964</v>
      </c>
    </row>
    <row r="284" spans="11:12" x14ac:dyDescent="0.3">
      <c r="K284" s="28">
        <v>0.28200000000000003</v>
      </c>
      <c r="L284" s="40">
        <f t="shared" si="4"/>
        <v>0.75826297086255934</v>
      </c>
    </row>
    <row r="285" spans="11:12" x14ac:dyDescent="0.3">
      <c r="K285" s="28">
        <v>0.28300000000000003</v>
      </c>
      <c r="L285" s="40">
        <f t="shared" si="4"/>
        <v>0.75900931670350325</v>
      </c>
    </row>
    <row r="286" spans="11:12" x14ac:dyDescent="0.3">
      <c r="K286" s="28">
        <v>0.28400000000000003</v>
      </c>
      <c r="L286" s="40">
        <f t="shared" si="4"/>
        <v>0.75975420112347725</v>
      </c>
    </row>
    <row r="287" spans="11:12" x14ac:dyDescent="0.3">
      <c r="K287" s="28">
        <v>0.28500000000000003</v>
      </c>
      <c r="L287" s="40">
        <f t="shared" si="4"/>
        <v>0.76049762276918664</v>
      </c>
    </row>
    <row r="288" spans="11:12" x14ac:dyDescent="0.3">
      <c r="K288" s="28">
        <v>0.28600000000000003</v>
      </c>
      <c r="L288" s="40">
        <f t="shared" si="4"/>
        <v>0.76123952068133349</v>
      </c>
    </row>
    <row r="289" spans="11:12" x14ac:dyDescent="0.3">
      <c r="K289" s="28">
        <v>0.28700000000000003</v>
      </c>
      <c r="L289" s="40">
        <f t="shared" si="4"/>
        <v>0.76197992330704745</v>
      </c>
    </row>
    <row r="290" spans="11:12" x14ac:dyDescent="0.3">
      <c r="K290" s="28">
        <v>0.28800000000000003</v>
      </c>
      <c r="L290" s="40">
        <f t="shared" si="4"/>
        <v>0.76271884419380365</v>
      </c>
    </row>
    <row r="291" spans="11:12" x14ac:dyDescent="0.3">
      <c r="K291" s="28">
        <v>0.28899999999999998</v>
      </c>
      <c r="L291" s="40">
        <f t="shared" si="4"/>
        <v>0.76345625963446062</v>
      </c>
    </row>
    <row r="292" spans="11:12" x14ac:dyDescent="0.3">
      <c r="K292" s="28">
        <v>0.28999999999999998</v>
      </c>
      <c r="L292" s="40">
        <f t="shared" si="4"/>
        <v>0.76419215211817781</v>
      </c>
    </row>
    <row r="293" spans="11:12" x14ac:dyDescent="0.3">
      <c r="K293" s="28">
        <v>0.29099999999999998</v>
      </c>
      <c r="L293" s="40">
        <f t="shared" si="4"/>
        <v>0.76492657145754983</v>
      </c>
    </row>
    <row r="294" spans="11:12" x14ac:dyDescent="0.3">
      <c r="K294" s="28">
        <v>0.29199999999999998</v>
      </c>
      <c r="L294" s="40">
        <f t="shared" si="4"/>
        <v>0.76565948888102431</v>
      </c>
    </row>
    <row r="295" spans="11:12" x14ac:dyDescent="0.3">
      <c r="K295" s="28">
        <v>0.29299999999999998</v>
      </c>
      <c r="L295" s="40">
        <f t="shared" si="4"/>
        <v>0.7663909031774645</v>
      </c>
    </row>
    <row r="296" spans="11:12" x14ac:dyDescent="0.3">
      <c r="K296" s="28">
        <v>0.29399999999999998</v>
      </c>
      <c r="L296" s="40">
        <f t="shared" si="4"/>
        <v>0.76712078333072786</v>
      </c>
    </row>
    <row r="297" spans="11:12" x14ac:dyDescent="0.3">
      <c r="K297" s="28">
        <v>0.29499999999999998</v>
      </c>
      <c r="L297" s="40">
        <f t="shared" si="4"/>
        <v>0.7678492175373155</v>
      </c>
    </row>
    <row r="298" spans="11:12" x14ac:dyDescent="0.3">
      <c r="K298" s="28">
        <v>0.29599999999999999</v>
      </c>
      <c r="L298" s="40">
        <f t="shared" si="4"/>
        <v>0.76857611517842273</v>
      </c>
    </row>
    <row r="299" spans="11:12" x14ac:dyDescent="0.3">
      <c r="K299" s="28">
        <v>0.29699999999999999</v>
      </c>
      <c r="L299" s="40">
        <f t="shared" si="4"/>
        <v>0.7693014750416679</v>
      </c>
    </row>
    <row r="300" spans="11:12" x14ac:dyDescent="0.3">
      <c r="K300" s="28">
        <v>0.29799999999999999</v>
      </c>
      <c r="L300" s="40">
        <f t="shared" si="4"/>
        <v>0.77002535552083484</v>
      </c>
    </row>
    <row r="301" spans="11:12" x14ac:dyDescent="0.3">
      <c r="K301" s="28">
        <v>0.29899999999999999</v>
      </c>
      <c r="L301" s="40">
        <f t="shared" si="4"/>
        <v>0.77074771815043419</v>
      </c>
    </row>
    <row r="302" spans="11:12" x14ac:dyDescent="0.3">
      <c r="K302" s="28">
        <v>0.3</v>
      </c>
      <c r="L302" s="40">
        <f t="shared" si="4"/>
        <v>0.77146854559149969</v>
      </c>
    </row>
    <row r="303" spans="11:12" x14ac:dyDescent="0.3">
      <c r="K303" s="28">
        <v>0.30099999999999999</v>
      </c>
      <c r="L303" s="40">
        <f t="shared" si="4"/>
        <v>0.77218792903159761</v>
      </c>
    </row>
    <row r="304" spans="11:12" x14ac:dyDescent="0.3">
      <c r="K304" s="28">
        <v>0.30199999999999999</v>
      </c>
      <c r="L304" s="40">
        <f t="shared" si="4"/>
        <v>0.77290573935447937</v>
      </c>
    </row>
    <row r="305" spans="11:12" x14ac:dyDescent="0.3">
      <c r="K305" s="28">
        <v>0.30299999999999999</v>
      </c>
      <c r="L305" s="40">
        <f t="shared" si="4"/>
        <v>0.773622035474826</v>
      </c>
    </row>
    <row r="306" spans="11:12" x14ac:dyDescent="0.3">
      <c r="K306" s="28">
        <v>0.30399999999999999</v>
      </c>
      <c r="L306" s="40">
        <f t="shared" si="4"/>
        <v>0.77433684650229129</v>
      </c>
    </row>
    <row r="307" spans="11:12" x14ac:dyDescent="0.3">
      <c r="K307" s="28">
        <v>0.30499999999999999</v>
      </c>
      <c r="L307" s="40">
        <f t="shared" si="4"/>
        <v>0.77505014194526567</v>
      </c>
    </row>
    <row r="308" spans="11:12" x14ac:dyDescent="0.3">
      <c r="K308" s="28">
        <v>0.30599999999999999</v>
      </c>
      <c r="L308" s="40">
        <f t="shared" si="4"/>
        <v>0.77576189131075646</v>
      </c>
    </row>
    <row r="309" spans="11:12" x14ac:dyDescent="0.3">
      <c r="K309" s="28">
        <v>0.307</v>
      </c>
      <c r="L309" s="40">
        <f t="shared" si="4"/>
        <v>0.77647213861102915</v>
      </c>
    </row>
    <row r="310" spans="11:12" x14ac:dyDescent="0.3">
      <c r="K310" s="28">
        <v>0.308</v>
      </c>
      <c r="L310" s="40">
        <f t="shared" si="4"/>
        <v>0.77718088315639788</v>
      </c>
    </row>
    <row r="311" spans="11:12" x14ac:dyDescent="0.3">
      <c r="K311" s="28">
        <v>0.309</v>
      </c>
      <c r="L311" s="40">
        <f t="shared" si="4"/>
        <v>0.77788808700253476</v>
      </c>
    </row>
    <row r="312" spans="11:12" x14ac:dyDescent="0.3">
      <c r="K312" s="28">
        <v>0.31</v>
      </c>
      <c r="L312" s="40">
        <f t="shared" si="4"/>
        <v>0.77859377011207198</v>
      </c>
    </row>
    <row r="313" spans="11:12" x14ac:dyDescent="0.3">
      <c r="K313" s="28">
        <v>0.311</v>
      </c>
      <c r="L313" s="40">
        <f t="shared" si="4"/>
        <v>0.779297934361733</v>
      </c>
    </row>
    <row r="314" spans="11:12" x14ac:dyDescent="0.3">
      <c r="K314" s="28">
        <v>0.312</v>
      </c>
      <c r="L314" s="40">
        <f t="shared" si="4"/>
        <v>0.78000063768155858</v>
      </c>
    </row>
    <row r="315" spans="11:12" x14ac:dyDescent="0.3">
      <c r="K315" s="28">
        <v>0.313</v>
      </c>
      <c r="L315" s="40">
        <f t="shared" si="4"/>
        <v>0.78070170045190102</v>
      </c>
    </row>
    <row r="316" spans="11:12" x14ac:dyDescent="0.3">
      <c r="K316" s="28">
        <v>0.314</v>
      </c>
      <c r="L316" s="40">
        <f t="shared" si="4"/>
        <v>0.78140133048058702</v>
      </c>
    </row>
    <row r="317" spans="11:12" x14ac:dyDescent="0.3">
      <c r="K317" s="28">
        <v>0.315</v>
      </c>
      <c r="L317" s="40">
        <f t="shared" si="4"/>
        <v>0.7820994375556154</v>
      </c>
    </row>
    <row r="318" spans="11:12" x14ac:dyDescent="0.3">
      <c r="K318" s="28">
        <v>0.316</v>
      </c>
      <c r="L318" s="40">
        <f t="shared" si="4"/>
        <v>0.7827959910682416</v>
      </c>
    </row>
    <row r="319" spans="11:12" x14ac:dyDescent="0.3">
      <c r="K319" s="28">
        <v>0.317</v>
      </c>
      <c r="L319" s="40">
        <f t="shared" si="4"/>
        <v>0.78349102001381432</v>
      </c>
    </row>
    <row r="320" spans="11:12" x14ac:dyDescent="0.3">
      <c r="K320" s="28">
        <v>0.318</v>
      </c>
      <c r="L320" s="40">
        <f t="shared" si="4"/>
        <v>0.78418455338922233</v>
      </c>
    </row>
    <row r="321" spans="11:12" x14ac:dyDescent="0.3">
      <c r="K321" s="28">
        <v>0.31900000000000001</v>
      </c>
      <c r="L321" s="40">
        <f t="shared" si="4"/>
        <v>0.78487653078263986</v>
      </c>
    </row>
    <row r="322" spans="11:12" x14ac:dyDescent="0.3">
      <c r="K322" s="28">
        <v>0.32</v>
      </c>
      <c r="L322" s="40">
        <f t="shared" si="4"/>
        <v>0.78556701597858869</v>
      </c>
    </row>
    <row r="323" spans="11:12" x14ac:dyDescent="0.3">
      <c r="K323" s="28">
        <v>0.32100000000000001</v>
      </c>
      <c r="L323" s="40">
        <f t="shared" ref="L323:L386" si="5">cubic_Spline($A$2:$A$152,$B$2:$B$152,K323)</f>
        <v>0.78625594963325973</v>
      </c>
    </row>
    <row r="324" spans="11:12" x14ac:dyDescent="0.3">
      <c r="K324" s="28">
        <v>0.32200000000000001</v>
      </c>
      <c r="L324" s="40">
        <f t="shared" si="5"/>
        <v>0.78694335535765803</v>
      </c>
    </row>
    <row r="325" spans="11:12" x14ac:dyDescent="0.3">
      <c r="K325" s="28">
        <v>0.32300000000000001</v>
      </c>
      <c r="L325" s="40">
        <f t="shared" si="5"/>
        <v>0.7876291734093126</v>
      </c>
    </row>
    <row r="326" spans="11:12" x14ac:dyDescent="0.3">
      <c r="K326" s="28">
        <v>0.32400000000000001</v>
      </c>
      <c r="L326" s="40">
        <f t="shared" si="5"/>
        <v>0.78831355265927683</v>
      </c>
    </row>
    <row r="327" spans="11:12" x14ac:dyDescent="0.3">
      <c r="K327" s="28">
        <v>0.32500000000000001</v>
      </c>
      <c r="L327" s="40">
        <f t="shared" si="5"/>
        <v>0.78899637376111753</v>
      </c>
    </row>
    <row r="328" spans="11:12" x14ac:dyDescent="0.3">
      <c r="K328" s="28">
        <v>0.32600000000000001</v>
      </c>
      <c r="L328" s="40">
        <f t="shared" si="5"/>
        <v>0.78967766637861769</v>
      </c>
    </row>
    <row r="329" spans="11:12" x14ac:dyDescent="0.3">
      <c r="K329" s="28">
        <v>0.32700000000000001</v>
      </c>
      <c r="L329" s="40">
        <f t="shared" si="5"/>
        <v>0.79035741547152205</v>
      </c>
    </row>
    <row r="330" spans="11:12" x14ac:dyDescent="0.3">
      <c r="K330" s="28">
        <v>0.32800000000000001</v>
      </c>
      <c r="L330" s="40">
        <f t="shared" si="5"/>
        <v>0.79103566560576855</v>
      </c>
    </row>
    <row r="331" spans="11:12" x14ac:dyDescent="0.3">
      <c r="K331" s="28">
        <v>0.32900000000000001</v>
      </c>
      <c r="L331" s="40">
        <f t="shared" si="5"/>
        <v>0.79171236448799076</v>
      </c>
    </row>
    <row r="332" spans="11:12" x14ac:dyDescent="0.3">
      <c r="K332" s="28">
        <v>0.33</v>
      </c>
      <c r="L332" s="40">
        <f t="shared" si="5"/>
        <v>0.7923875104836815</v>
      </c>
    </row>
    <row r="333" spans="11:12" x14ac:dyDescent="0.3">
      <c r="K333" s="28">
        <v>0.33100000000000002</v>
      </c>
      <c r="L333" s="40">
        <f t="shared" si="5"/>
        <v>0.79306121454674772</v>
      </c>
    </row>
    <row r="334" spans="11:12" x14ac:dyDescent="0.3">
      <c r="K334" s="28">
        <v>0.33200000000000002</v>
      </c>
      <c r="L334" s="40">
        <f t="shared" si="5"/>
        <v>0.79373332964467447</v>
      </c>
    </row>
    <row r="335" spans="11:12" x14ac:dyDescent="0.3">
      <c r="K335" s="28">
        <v>0.33300000000000002</v>
      </c>
      <c r="L335" s="40">
        <f t="shared" si="5"/>
        <v>0.79440385559426419</v>
      </c>
    </row>
    <row r="336" spans="11:12" x14ac:dyDescent="0.3">
      <c r="K336" s="28">
        <v>0.33400000000000002</v>
      </c>
      <c r="L336" s="40">
        <f t="shared" si="5"/>
        <v>0.7950729412211972</v>
      </c>
    </row>
    <row r="337" spans="11:12" x14ac:dyDescent="0.3">
      <c r="K337" s="28">
        <v>0.33500000000000002</v>
      </c>
      <c r="L337" s="40">
        <f t="shared" si="5"/>
        <v>0.79574046713367019</v>
      </c>
    </row>
    <row r="338" spans="11:12" x14ac:dyDescent="0.3">
      <c r="K338" s="28">
        <v>0.33600000000000002</v>
      </c>
      <c r="L338" s="40">
        <f t="shared" si="5"/>
        <v>0.79640649275241626</v>
      </c>
    </row>
    <row r="339" spans="11:12" x14ac:dyDescent="0.3">
      <c r="K339" s="28">
        <v>0.33700000000000002</v>
      </c>
      <c r="L339" s="40">
        <f t="shared" si="5"/>
        <v>0.79707092848600292</v>
      </c>
    </row>
    <row r="340" spans="11:12" x14ac:dyDescent="0.3">
      <c r="K340" s="28">
        <v>0.33800000000000002</v>
      </c>
      <c r="L340" s="40">
        <f t="shared" si="5"/>
        <v>0.79773387845964172</v>
      </c>
    </row>
    <row r="341" spans="11:12" x14ac:dyDescent="0.3">
      <c r="K341" s="28">
        <v>0.33900000000000002</v>
      </c>
      <c r="L341" s="40">
        <f t="shared" si="5"/>
        <v>0.79839528288401374</v>
      </c>
    </row>
    <row r="342" spans="11:12" x14ac:dyDescent="0.3">
      <c r="K342" s="28">
        <v>0.34</v>
      </c>
      <c r="L342" s="40">
        <f t="shared" si="5"/>
        <v>0.79905516899334816</v>
      </c>
    </row>
    <row r="343" spans="11:12" x14ac:dyDescent="0.3">
      <c r="K343" s="28">
        <v>0.34100000000000003</v>
      </c>
      <c r="L343" s="40">
        <f t="shared" si="5"/>
        <v>0.79971353608523355</v>
      </c>
    </row>
    <row r="344" spans="11:12" x14ac:dyDescent="0.3">
      <c r="K344" s="28">
        <v>0.34200000000000003</v>
      </c>
      <c r="L344" s="40">
        <f t="shared" si="5"/>
        <v>0.80037031259255509</v>
      </c>
    </row>
    <row r="345" spans="11:12" x14ac:dyDescent="0.3">
      <c r="K345" s="28">
        <v>0.34300000000000003</v>
      </c>
      <c r="L345" s="40">
        <f t="shared" si="5"/>
        <v>0.80102555815590337</v>
      </c>
    </row>
    <row r="346" spans="11:12" x14ac:dyDescent="0.3">
      <c r="K346" s="28">
        <v>0.34400000000000003</v>
      </c>
      <c r="L346" s="40">
        <f t="shared" si="5"/>
        <v>0.80167933241313172</v>
      </c>
    </row>
    <row r="347" spans="11:12" x14ac:dyDescent="0.3">
      <c r="K347" s="28">
        <v>0.34500000000000003</v>
      </c>
      <c r="L347" s="40">
        <f t="shared" si="5"/>
        <v>0.80233157579622594</v>
      </c>
    </row>
    <row r="348" spans="11:12" x14ac:dyDescent="0.3">
      <c r="K348" s="28">
        <v>0.34600000000000003</v>
      </c>
      <c r="L348" s="40">
        <f t="shared" si="5"/>
        <v>0.80298225853809457</v>
      </c>
    </row>
    <row r="349" spans="11:12" x14ac:dyDescent="0.3">
      <c r="K349" s="28">
        <v>0.34700000000000003</v>
      </c>
      <c r="L349" s="40">
        <f t="shared" si="5"/>
        <v>0.80363141047573639</v>
      </c>
    </row>
    <row r="350" spans="11:12" x14ac:dyDescent="0.3">
      <c r="K350" s="28">
        <v>0.34800000000000003</v>
      </c>
      <c r="L350" s="40">
        <f t="shared" si="5"/>
        <v>0.80427904654653981</v>
      </c>
    </row>
    <row r="351" spans="11:12" x14ac:dyDescent="0.3">
      <c r="K351" s="28">
        <v>0.34900000000000003</v>
      </c>
      <c r="L351" s="40">
        <f t="shared" si="5"/>
        <v>0.80492514443323027</v>
      </c>
    </row>
    <row r="352" spans="11:12" x14ac:dyDescent="0.3">
      <c r="K352" s="28">
        <v>0.35000000000000003</v>
      </c>
      <c r="L352" s="40">
        <f t="shared" si="5"/>
        <v>0.80556971550351208</v>
      </c>
    </row>
    <row r="353" spans="11:12" x14ac:dyDescent="0.3">
      <c r="K353" s="28">
        <v>0.35100000000000003</v>
      </c>
      <c r="L353" s="40">
        <f t="shared" si="5"/>
        <v>0.80621274960255129</v>
      </c>
    </row>
    <row r="354" spans="11:12" x14ac:dyDescent="0.3">
      <c r="K354" s="28">
        <v>0.35199999999999998</v>
      </c>
      <c r="L354" s="40">
        <f t="shared" si="5"/>
        <v>0.80685425368486852</v>
      </c>
    </row>
    <row r="355" spans="11:12" x14ac:dyDescent="0.3">
      <c r="K355" s="28">
        <v>0.35299999999999998</v>
      </c>
      <c r="L355" s="40">
        <f t="shared" si="5"/>
        <v>0.80749422839675689</v>
      </c>
    </row>
    <row r="356" spans="11:12" x14ac:dyDescent="0.3">
      <c r="K356" s="28">
        <v>0.35399999999999998</v>
      </c>
      <c r="L356" s="40">
        <f t="shared" si="5"/>
        <v>0.8081326743817594</v>
      </c>
    </row>
    <row r="357" spans="11:12" x14ac:dyDescent="0.3">
      <c r="K357" s="28">
        <v>0.35499999999999998</v>
      </c>
      <c r="L357" s="40">
        <f t="shared" si="5"/>
        <v>0.80876959228684409</v>
      </c>
    </row>
    <row r="358" spans="11:12" x14ac:dyDescent="0.3">
      <c r="K358" s="28">
        <v>0.35599999999999998</v>
      </c>
      <c r="L358" s="40">
        <f t="shared" si="5"/>
        <v>0.80940501255990327</v>
      </c>
    </row>
    <row r="359" spans="11:12" x14ac:dyDescent="0.3">
      <c r="K359" s="28">
        <v>0.35699999999999998</v>
      </c>
      <c r="L359" s="40">
        <f t="shared" si="5"/>
        <v>0.81003886134014513</v>
      </c>
    </row>
    <row r="360" spans="11:12" x14ac:dyDescent="0.3">
      <c r="K360" s="28">
        <v>0.35799999999999998</v>
      </c>
      <c r="L360" s="40">
        <f t="shared" si="5"/>
        <v>0.81067119887878003</v>
      </c>
    </row>
    <row r="361" spans="11:12" x14ac:dyDescent="0.3">
      <c r="K361" s="28">
        <v>0.35899999999999999</v>
      </c>
      <c r="L361" s="40">
        <f t="shared" si="5"/>
        <v>0.81130201837003324</v>
      </c>
    </row>
    <row r="362" spans="11:12" x14ac:dyDescent="0.3">
      <c r="K362" s="28">
        <v>0.36</v>
      </c>
      <c r="L362" s="40">
        <f t="shared" si="5"/>
        <v>0.8119312741031266</v>
      </c>
    </row>
    <row r="363" spans="11:12" x14ac:dyDescent="0.3">
      <c r="K363" s="28">
        <v>0.36099999999999999</v>
      </c>
      <c r="L363" s="40">
        <f t="shared" si="5"/>
        <v>0.81255909886671629</v>
      </c>
    </row>
    <row r="364" spans="11:12" x14ac:dyDescent="0.3">
      <c r="K364" s="28">
        <v>0.36199999999999999</v>
      </c>
      <c r="L364" s="40">
        <f t="shared" si="5"/>
        <v>0.81318533993272213</v>
      </c>
    </row>
    <row r="365" spans="11:12" x14ac:dyDescent="0.3">
      <c r="K365" s="28">
        <v>0.36299999999999999</v>
      </c>
      <c r="L365" s="40">
        <f t="shared" si="5"/>
        <v>0.81380999741495486</v>
      </c>
    </row>
    <row r="366" spans="11:12" x14ac:dyDescent="0.3">
      <c r="K366" s="28">
        <v>0.36399999999999999</v>
      </c>
      <c r="L366" s="40">
        <f t="shared" si="5"/>
        <v>0.81443322043611166</v>
      </c>
    </row>
    <row r="367" spans="11:12" x14ac:dyDescent="0.3">
      <c r="K367" s="28">
        <v>0.36499999999999999</v>
      </c>
      <c r="L367" s="40">
        <f t="shared" si="5"/>
        <v>0.81505488990139496</v>
      </c>
    </row>
    <row r="368" spans="11:12" x14ac:dyDescent="0.3">
      <c r="K368" s="28">
        <v>0.36599999999999999</v>
      </c>
      <c r="L368" s="40">
        <f t="shared" si="5"/>
        <v>0.81567503572622624</v>
      </c>
    </row>
    <row r="369" spans="11:12" x14ac:dyDescent="0.3">
      <c r="K369" s="28">
        <v>0.36699999999999999</v>
      </c>
      <c r="L369" s="40">
        <f t="shared" si="5"/>
        <v>0.81629365802315201</v>
      </c>
    </row>
    <row r="370" spans="11:12" x14ac:dyDescent="0.3">
      <c r="K370" s="28">
        <v>0.36799999999999999</v>
      </c>
      <c r="L370" s="40">
        <f t="shared" si="5"/>
        <v>0.8169107569062628</v>
      </c>
    </row>
    <row r="371" spans="11:12" x14ac:dyDescent="0.3">
      <c r="K371" s="28">
        <v>0.36899999999999999</v>
      </c>
      <c r="L371" s="40">
        <f t="shared" si="5"/>
        <v>0.81752633248789719</v>
      </c>
    </row>
    <row r="372" spans="11:12" x14ac:dyDescent="0.3">
      <c r="K372" s="28">
        <v>0.37</v>
      </c>
      <c r="L372" s="40">
        <f t="shared" si="5"/>
        <v>0.81814041172310004</v>
      </c>
    </row>
    <row r="373" spans="11:12" x14ac:dyDescent="0.3">
      <c r="K373" s="28">
        <v>0.371</v>
      </c>
      <c r="L373" s="40">
        <f t="shared" si="5"/>
        <v>0.81875294779159646</v>
      </c>
    </row>
    <row r="374" spans="11:12" x14ac:dyDescent="0.3">
      <c r="K374" s="28">
        <v>0.372</v>
      </c>
      <c r="L374" s="40">
        <f t="shared" si="5"/>
        <v>0.81936396207545947</v>
      </c>
    </row>
    <row r="375" spans="11:12" x14ac:dyDescent="0.3">
      <c r="K375" s="28">
        <v>0.373</v>
      </c>
      <c r="L375" s="40">
        <f t="shared" si="5"/>
        <v>0.81997339626062982</v>
      </c>
    </row>
    <row r="376" spans="11:12" x14ac:dyDescent="0.3">
      <c r="K376" s="28">
        <v>0.374</v>
      </c>
      <c r="L376" s="40">
        <f t="shared" si="5"/>
        <v>0.82058137084425964</v>
      </c>
    </row>
    <row r="377" spans="11:12" x14ac:dyDescent="0.3">
      <c r="K377" s="28">
        <v>0.375</v>
      </c>
      <c r="L377" s="40">
        <f t="shared" si="5"/>
        <v>0.82118782751297059</v>
      </c>
    </row>
    <row r="378" spans="11:12" x14ac:dyDescent="0.3">
      <c r="K378" s="28">
        <v>0.376</v>
      </c>
      <c r="L378" s="40">
        <f t="shared" si="5"/>
        <v>0.82179276755663755</v>
      </c>
    </row>
    <row r="379" spans="11:12" x14ac:dyDescent="0.3">
      <c r="K379" s="28">
        <v>0.377</v>
      </c>
      <c r="L379" s="40">
        <f t="shared" si="5"/>
        <v>0.82239617736342197</v>
      </c>
    </row>
    <row r="380" spans="11:12" x14ac:dyDescent="0.3">
      <c r="K380" s="28">
        <v>0.378</v>
      </c>
      <c r="L380" s="40">
        <f t="shared" si="5"/>
        <v>0.82299808802651175</v>
      </c>
    </row>
    <row r="381" spans="11:12" x14ac:dyDescent="0.3">
      <c r="K381" s="28">
        <v>0.379</v>
      </c>
      <c r="L381" s="40">
        <f t="shared" si="5"/>
        <v>0.82359847848327961</v>
      </c>
    </row>
    <row r="382" spans="11:12" x14ac:dyDescent="0.3">
      <c r="K382" s="28">
        <v>0.38</v>
      </c>
      <c r="L382" s="40">
        <f t="shared" si="5"/>
        <v>0.82419733056039091</v>
      </c>
    </row>
    <row r="383" spans="11:12" x14ac:dyDescent="0.3">
      <c r="K383" s="28">
        <v>0.38100000000000001</v>
      </c>
      <c r="L383" s="40">
        <f t="shared" si="5"/>
        <v>0.82479476090737669</v>
      </c>
    </row>
    <row r="384" spans="11:12" x14ac:dyDescent="0.3">
      <c r="K384" s="28">
        <v>0.38200000000000001</v>
      </c>
      <c r="L384" s="40">
        <f t="shared" si="5"/>
        <v>0.82539062192375234</v>
      </c>
    </row>
    <row r="385" spans="11:12" x14ac:dyDescent="0.3">
      <c r="K385" s="28">
        <v>0.38300000000000001</v>
      </c>
      <c r="L385" s="40">
        <f t="shared" si="5"/>
        <v>0.82598491405948093</v>
      </c>
    </row>
    <row r="386" spans="11:12" x14ac:dyDescent="0.3">
      <c r="K386" s="28">
        <v>0.38400000000000001</v>
      </c>
      <c r="L386" s="40">
        <f t="shared" si="5"/>
        <v>0.82657775697111513</v>
      </c>
    </row>
    <row r="387" spans="11:12" x14ac:dyDescent="0.3">
      <c r="K387" s="28">
        <v>0.38500000000000001</v>
      </c>
      <c r="L387" s="40">
        <f t="shared" ref="L387:L450" si="6">cubic_Spline($A$2:$A$152,$B$2:$B$152,K387)</f>
        <v>0.82716912130697073</v>
      </c>
    </row>
    <row r="388" spans="11:12" x14ac:dyDescent="0.3">
      <c r="K388" s="28">
        <v>0.38600000000000001</v>
      </c>
      <c r="L388" s="40">
        <f t="shared" si="6"/>
        <v>0.82775894791166116</v>
      </c>
    </row>
    <row r="389" spans="11:12" x14ac:dyDescent="0.3">
      <c r="K389" s="28">
        <v>0.38700000000000001</v>
      </c>
      <c r="L389" s="40">
        <f t="shared" si="6"/>
        <v>0.82834725213505822</v>
      </c>
    </row>
    <row r="390" spans="11:12" x14ac:dyDescent="0.3">
      <c r="K390" s="28">
        <v>0.38800000000000001</v>
      </c>
      <c r="L390" s="40">
        <f t="shared" si="6"/>
        <v>0.82893406422972515</v>
      </c>
    </row>
    <row r="391" spans="11:12" x14ac:dyDescent="0.3">
      <c r="K391" s="28">
        <v>0.38900000000000001</v>
      </c>
      <c r="L391" s="40">
        <f t="shared" si="6"/>
        <v>0.82951936974300489</v>
      </c>
    </row>
    <row r="392" spans="11:12" x14ac:dyDescent="0.3">
      <c r="K392" s="28">
        <v>0.39</v>
      </c>
      <c r="L392" s="40">
        <f t="shared" si="6"/>
        <v>0.83010316266812967</v>
      </c>
    </row>
    <row r="393" spans="11:12" x14ac:dyDescent="0.3">
      <c r="K393" s="28">
        <v>0.39100000000000001</v>
      </c>
      <c r="L393" s="40">
        <f t="shared" si="6"/>
        <v>0.83068546600897253</v>
      </c>
    </row>
    <row r="394" spans="11:12" x14ac:dyDescent="0.3">
      <c r="K394" s="28">
        <v>0.39200000000000002</v>
      </c>
      <c r="L394" s="40">
        <f t="shared" si="6"/>
        <v>0.83126626512804336</v>
      </c>
    </row>
    <row r="395" spans="11:12" x14ac:dyDescent="0.3">
      <c r="K395" s="28">
        <v>0.39300000000000002</v>
      </c>
      <c r="L395" s="40">
        <f t="shared" si="6"/>
        <v>0.83184550188171702</v>
      </c>
    </row>
    <row r="396" spans="11:12" x14ac:dyDescent="0.3">
      <c r="K396" s="28">
        <v>0.39400000000000002</v>
      </c>
      <c r="L396" s="40">
        <f t="shared" si="6"/>
        <v>0.8324232969376103</v>
      </c>
    </row>
    <row r="397" spans="11:12" x14ac:dyDescent="0.3">
      <c r="K397" s="28">
        <v>0.39500000000000002</v>
      </c>
      <c r="L397" s="40">
        <f t="shared" si="6"/>
        <v>0.83299959215277142</v>
      </c>
    </row>
    <row r="398" spans="11:12" x14ac:dyDescent="0.3">
      <c r="K398" s="28">
        <v>0.39600000000000002</v>
      </c>
      <c r="L398" s="40">
        <f t="shared" si="6"/>
        <v>0.83357438898751657</v>
      </c>
    </row>
    <row r="399" spans="11:12" x14ac:dyDescent="0.3">
      <c r="K399" s="28">
        <v>0.39700000000000002</v>
      </c>
      <c r="L399" s="40">
        <f t="shared" si="6"/>
        <v>0.83414767400045531</v>
      </c>
    </row>
    <row r="400" spans="11:12" x14ac:dyDescent="0.3">
      <c r="K400" s="28">
        <v>0.39800000000000002</v>
      </c>
      <c r="L400" s="40">
        <f t="shared" si="6"/>
        <v>0.83471947845520644</v>
      </c>
    </row>
    <row r="401" spans="11:12" x14ac:dyDescent="0.3">
      <c r="K401" s="28">
        <v>0.39900000000000002</v>
      </c>
      <c r="L401" s="40">
        <f t="shared" si="6"/>
        <v>0.83528977400901261</v>
      </c>
    </row>
    <row r="402" spans="11:12" x14ac:dyDescent="0.3">
      <c r="K402" s="28">
        <v>0.4</v>
      </c>
      <c r="L402" s="40">
        <f t="shared" si="6"/>
        <v>0.83585855869055226</v>
      </c>
    </row>
    <row r="403" spans="11:12" x14ac:dyDescent="0.3">
      <c r="K403" s="28">
        <v>0.40100000000000002</v>
      </c>
      <c r="L403" s="40">
        <f t="shared" si="6"/>
        <v>0.83642589498309572</v>
      </c>
    </row>
    <row r="404" spans="11:12" x14ac:dyDescent="0.3">
      <c r="K404" s="28">
        <v>0.40200000000000002</v>
      </c>
      <c r="L404" s="40">
        <f t="shared" si="6"/>
        <v>0.83699174126473275</v>
      </c>
    </row>
    <row r="405" spans="11:12" x14ac:dyDescent="0.3">
      <c r="K405" s="28">
        <v>0.40300000000000002</v>
      </c>
      <c r="L405" s="40">
        <f t="shared" si="6"/>
        <v>0.83755603899899356</v>
      </c>
    </row>
    <row r="406" spans="11:12" x14ac:dyDescent="0.3">
      <c r="K406" s="28">
        <v>0.40400000000000003</v>
      </c>
      <c r="L406" s="40">
        <f t="shared" si="6"/>
        <v>0.83811890846067638</v>
      </c>
    </row>
    <row r="407" spans="11:12" x14ac:dyDescent="0.3">
      <c r="K407" s="28">
        <v>0.40500000000000003</v>
      </c>
      <c r="L407" s="40">
        <f t="shared" si="6"/>
        <v>0.83868026131165563</v>
      </c>
    </row>
    <row r="408" spans="11:12" x14ac:dyDescent="0.3">
      <c r="K408" s="28">
        <v>0.40600000000000003</v>
      </c>
      <c r="L408" s="40">
        <f t="shared" si="6"/>
        <v>0.83924015822405496</v>
      </c>
    </row>
    <row r="409" spans="11:12" x14ac:dyDescent="0.3">
      <c r="K409" s="28">
        <v>0.40700000000000003</v>
      </c>
      <c r="L409" s="40">
        <f t="shared" si="6"/>
        <v>0.83979854066016757</v>
      </c>
    </row>
    <row r="410" spans="11:12" x14ac:dyDescent="0.3">
      <c r="K410" s="28">
        <v>0.40800000000000003</v>
      </c>
      <c r="L410" s="40">
        <f t="shared" si="6"/>
        <v>0.84035545439192627</v>
      </c>
    </row>
    <row r="411" spans="11:12" x14ac:dyDescent="0.3">
      <c r="K411" s="28">
        <v>0.40900000000000003</v>
      </c>
      <c r="L411" s="40">
        <f t="shared" si="6"/>
        <v>0.84091087813432364</v>
      </c>
    </row>
    <row r="412" spans="11:12" x14ac:dyDescent="0.3">
      <c r="K412" s="28">
        <v>0.41000000000000003</v>
      </c>
      <c r="L412" s="40">
        <f t="shared" si="6"/>
        <v>0.84146482241070342</v>
      </c>
    </row>
    <row r="413" spans="11:12" x14ac:dyDescent="0.3">
      <c r="K413" s="28">
        <v>0.41100000000000003</v>
      </c>
      <c r="L413" s="40">
        <f t="shared" si="6"/>
        <v>0.84201728938509079</v>
      </c>
    </row>
    <row r="414" spans="11:12" x14ac:dyDescent="0.3">
      <c r="K414" s="28">
        <v>0.41200000000000003</v>
      </c>
      <c r="L414" s="40">
        <f t="shared" si="6"/>
        <v>0.84256827763186082</v>
      </c>
    </row>
    <row r="415" spans="11:12" x14ac:dyDescent="0.3">
      <c r="K415" s="28">
        <v>0.41300000000000003</v>
      </c>
      <c r="L415" s="40">
        <f t="shared" si="6"/>
        <v>0.84311772922250727</v>
      </c>
    </row>
    <row r="416" spans="11:12" x14ac:dyDescent="0.3">
      <c r="K416" s="28">
        <v>0.41400000000000003</v>
      </c>
      <c r="L416" s="40">
        <f t="shared" si="6"/>
        <v>0.84366582464445561</v>
      </c>
    </row>
    <row r="417" spans="11:12" x14ac:dyDescent="0.3">
      <c r="K417" s="28">
        <v>0.41500000000000004</v>
      </c>
      <c r="L417" s="40">
        <f t="shared" si="6"/>
        <v>0.84421235695824925</v>
      </c>
    </row>
    <row r="418" spans="11:12" x14ac:dyDescent="0.3">
      <c r="K418" s="28">
        <v>0.41600000000000004</v>
      </c>
      <c r="L418" s="40">
        <f t="shared" si="6"/>
        <v>0.84475747685094715</v>
      </c>
    </row>
    <row r="419" spans="11:12" x14ac:dyDescent="0.3">
      <c r="K419" s="28">
        <v>0.41699999999999998</v>
      </c>
      <c r="L419" s="40">
        <f t="shared" si="6"/>
        <v>0.84530106678816552</v>
      </c>
    </row>
    <row r="420" spans="11:12" x14ac:dyDescent="0.3">
      <c r="K420" s="28">
        <v>0.41799999999999998</v>
      </c>
      <c r="L420" s="40">
        <f t="shared" si="6"/>
        <v>0.8458432327544525</v>
      </c>
    </row>
    <row r="421" spans="11:12" x14ac:dyDescent="0.3">
      <c r="K421" s="28">
        <v>0.41899999999999998</v>
      </c>
      <c r="L421" s="40">
        <f t="shared" si="6"/>
        <v>0.84638390936928631</v>
      </c>
    </row>
    <row r="422" spans="11:12" x14ac:dyDescent="0.3">
      <c r="K422" s="28">
        <v>0.42</v>
      </c>
      <c r="L422" s="40">
        <f t="shared" si="6"/>
        <v>0.84692309801203958</v>
      </c>
    </row>
    <row r="423" spans="11:12" x14ac:dyDescent="0.3">
      <c r="K423" s="28">
        <v>0.42099999999999999</v>
      </c>
      <c r="L423" s="40">
        <f t="shared" si="6"/>
        <v>0.84746086940366883</v>
      </c>
    </row>
    <row r="424" spans="11:12" x14ac:dyDescent="0.3">
      <c r="K424" s="28">
        <v>0.42199999999999999</v>
      </c>
      <c r="L424" s="40">
        <f t="shared" si="6"/>
        <v>0.84799717858233281</v>
      </c>
    </row>
    <row r="425" spans="11:12" x14ac:dyDescent="0.3">
      <c r="K425" s="28">
        <v>0.42299999999999999</v>
      </c>
      <c r="L425" s="40">
        <f t="shared" si="6"/>
        <v>0.84853196737917547</v>
      </c>
    </row>
    <row r="426" spans="11:12" x14ac:dyDescent="0.3">
      <c r="K426" s="28">
        <v>0.42399999999999999</v>
      </c>
      <c r="L426" s="40">
        <f t="shared" si="6"/>
        <v>0.84906535643665804</v>
      </c>
    </row>
    <row r="427" spans="11:12" x14ac:dyDescent="0.3">
      <c r="K427" s="28">
        <v>0.42499999999999999</v>
      </c>
      <c r="L427" s="40">
        <f t="shared" si="6"/>
        <v>0.84959728758657871</v>
      </c>
    </row>
    <row r="428" spans="11:12" x14ac:dyDescent="0.3">
      <c r="K428" s="28">
        <v>0.42599999999999999</v>
      </c>
      <c r="L428" s="40">
        <f t="shared" si="6"/>
        <v>0.85012773246172035</v>
      </c>
    </row>
    <row r="429" spans="11:12" x14ac:dyDescent="0.3">
      <c r="K429" s="28">
        <v>0.42699999999999999</v>
      </c>
      <c r="L429" s="40">
        <f t="shared" si="6"/>
        <v>0.85065672229898026</v>
      </c>
    </row>
    <row r="430" spans="11:12" x14ac:dyDescent="0.3">
      <c r="K430" s="28">
        <v>0.42799999999999999</v>
      </c>
      <c r="L430" s="40">
        <f t="shared" si="6"/>
        <v>0.85118428833673843</v>
      </c>
    </row>
    <row r="431" spans="11:12" x14ac:dyDescent="0.3">
      <c r="K431" s="28">
        <v>0.42899999999999999</v>
      </c>
      <c r="L431" s="40">
        <f t="shared" si="6"/>
        <v>0.85171037240472502</v>
      </c>
    </row>
    <row r="432" spans="11:12" x14ac:dyDescent="0.3">
      <c r="K432" s="28">
        <v>0.43</v>
      </c>
      <c r="L432" s="40">
        <f t="shared" si="6"/>
        <v>0.85223500193951784</v>
      </c>
    </row>
    <row r="433" spans="11:12" x14ac:dyDescent="0.3">
      <c r="K433" s="28">
        <v>0.43099999999999999</v>
      </c>
      <c r="L433" s="40">
        <f t="shared" si="6"/>
        <v>0.85275822435718096</v>
      </c>
    </row>
    <row r="434" spans="11:12" x14ac:dyDescent="0.3">
      <c r="K434" s="28">
        <v>0.432</v>
      </c>
      <c r="L434" s="40">
        <f t="shared" si="6"/>
        <v>0.85327999919283437</v>
      </c>
    </row>
    <row r="435" spans="11:12" x14ac:dyDescent="0.3">
      <c r="K435" s="28">
        <v>0.433</v>
      </c>
      <c r="L435" s="40">
        <f t="shared" si="6"/>
        <v>0.85380020895235498</v>
      </c>
    </row>
    <row r="436" spans="11:12" x14ac:dyDescent="0.3">
      <c r="K436" s="28">
        <v>0.434</v>
      </c>
      <c r="L436" s="40">
        <f t="shared" si="6"/>
        <v>0.85431909376689608</v>
      </c>
    </row>
    <row r="437" spans="11:12" x14ac:dyDescent="0.3">
      <c r="K437" s="28">
        <v>0.435</v>
      </c>
      <c r="L437" s="40">
        <f t="shared" si="6"/>
        <v>0.85483653614298194</v>
      </c>
    </row>
    <row r="438" spans="11:12" x14ac:dyDescent="0.3">
      <c r="K438" s="28">
        <v>0.436</v>
      </c>
      <c r="L438" s="40">
        <f t="shared" si="6"/>
        <v>0.85535250799277984</v>
      </c>
    </row>
    <row r="439" spans="11:12" x14ac:dyDescent="0.3">
      <c r="K439" s="28">
        <v>0.437</v>
      </c>
      <c r="L439" s="40">
        <f t="shared" si="6"/>
        <v>0.85586704083257581</v>
      </c>
    </row>
    <row r="440" spans="11:12" x14ac:dyDescent="0.3">
      <c r="K440" s="28">
        <v>0.438</v>
      </c>
      <c r="L440" s="40">
        <f t="shared" si="6"/>
        <v>0.85638013637780197</v>
      </c>
    </row>
    <row r="441" spans="11:12" x14ac:dyDescent="0.3">
      <c r="K441" s="28">
        <v>0.439</v>
      </c>
      <c r="L441" s="40">
        <f t="shared" si="6"/>
        <v>0.85689180379280527</v>
      </c>
    </row>
    <row r="442" spans="11:12" x14ac:dyDescent="0.3">
      <c r="K442" s="28">
        <v>0.44</v>
      </c>
      <c r="L442" s="40">
        <f t="shared" si="6"/>
        <v>0.85740205347489462</v>
      </c>
    </row>
    <row r="443" spans="11:12" x14ac:dyDescent="0.3">
      <c r="K443" s="28">
        <v>0.441</v>
      </c>
      <c r="L443" s="40">
        <f t="shared" si="6"/>
        <v>0.8579108062351074</v>
      </c>
    </row>
    <row r="444" spans="11:12" x14ac:dyDescent="0.3">
      <c r="K444" s="28">
        <v>0.442</v>
      </c>
      <c r="L444" s="40">
        <f t="shared" si="6"/>
        <v>0.8584181884304769</v>
      </c>
    </row>
    <row r="445" spans="11:12" x14ac:dyDescent="0.3">
      <c r="K445" s="28">
        <v>0.443</v>
      </c>
      <c r="L445" s="40">
        <f t="shared" si="6"/>
        <v>0.85892408283398469</v>
      </c>
    </row>
    <row r="446" spans="11:12" x14ac:dyDescent="0.3">
      <c r="K446" s="28">
        <v>0.44400000000000001</v>
      </c>
      <c r="L446" s="40">
        <f t="shared" si="6"/>
        <v>0.85942861063463016</v>
      </c>
    </row>
    <row r="447" spans="11:12" x14ac:dyDescent="0.3">
      <c r="K447" s="28">
        <v>0.44500000000000001</v>
      </c>
      <c r="L447" s="40">
        <f t="shared" si="6"/>
        <v>0.85993171421068049</v>
      </c>
    </row>
    <row r="448" spans="11:12" x14ac:dyDescent="0.3">
      <c r="K448" s="28">
        <v>0.44600000000000001</v>
      </c>
      <c r="L448" s="40">
        <f t="shared" si="6"/>
        <v>0.86043339554373766</v>
      </c>
    </row>
    <row r="449" spans="11:12" x14ac:dyDescent="0.3">
      <c r="K449" s="28">
        <v>0.44700000000000001</v>
      </c>
      <c r="L449" s="40">
        <f t="shared" si="6"/>
        <v>0.86093362681256269</v>
      </c>
    </row>
    <row r="450" spans="11:12" x14ac:dyDescent="0.3">
      <c r="K450" s="28">
        <v>0.44800000000000001</v>
      </c>
      <c r="L450" s="40">
        <f t="shared" si="6"/>
        <v>0.86143246960433451</v>
      </c>
    </row>
    <row r="451" spans="11:12" x14ac:dyDescent="0.3">
      <c r="K451" s="28">
        <v>0.44900000000000001</v>
      </c>
      <c r="L451" s="40">
        <f t="shared" ref="L451:L514" si="7">cubic_Spline($A$2:$A$152,$B$2:$B$152,K451)</f>
        <v>0.86192987374587682</v>
      </c>
    </row>
    <row r="452" spans="11:12" x14ac:dyDescent="0.3">
      <c r="K452" s="28">
        <v>0.45</v>
      </c>
      <c r="L452" s="40">
        <f t="shared" si="7"/>
        <v>0.86242588445784063</v>
      </c>
    </row>
    <row r="453" spans="11:12" x14ac:dyDescent="0.3">
      <c r="K453" s="28">
        <v>0.45100000000000001</v>
      </c>
      <c r="L453" s="40">
        <f t="shared" si="7"/>
        <v>0.8629204422883815</v>
      </c>
    </row>
    <row r="454" spans="11:12" x14ac:dyDescent="0.3">
      <c r="K454" s="28">
        <v>0.45200000000000001</v>
      </c>
      <c r="L454" s="40">
        <f t="shared" si="7"/>
        <v>0.86341364910583918</v>
      </c>
    </row>
    <row r="455" spans="11:12" x14ac:dyDescent="0.3">
      <c r="K455" s="28">
        <v>0.45300000000000001</v>
      </c>
      <c r="L455" s="40">
        <f t="shared" si="7"/>
        <v>0.86390538741841782</v>
      </c>
    </row>
    <row r="456" spans="11:12" x14ac:dyDescent="0.3">
      <c r="K456" s="28">
        <v>0.45400000000000001</v>
      </c>
      <c r="L456" s="40">
        <f t="shared" si="7"/>
        <v>0.86439571854572994</v>
      </c>
    </row>
    <row r="457" spans="11:12" x14ac:dyDescent="0.3">
      <c r="K457" s="28">
        <v>0.45500000000000002</v>
      </c>
      <c r="L457" s="40">
        <f t="shared" si="7"/>
        <v>0.86488470381054505</v>
      </c>
    </row>
    <row r="458" spans="11:12" x14ac:dyDescent="0.3">
      <c r="K458" s="28">
        <v>0.45600000000000002</v>
      </c>
      <c r="L458" s="40">
        <f t="shared" si="7"/>
        <v>0.86537225552273001</v>
      </c>
    </row>
    <row r="459" spans="11:12" x14ac:dyDescent="0.3">
      <c r="K459" s="28">
        <v>0.45700000000000002</v>
      </c>
      <c r="L459" s="40">
        <f t="shared" si="7"/>
        <v>0.86585837539860666</v>
      </c>
    </row>
    <row r="460" spans="11:12" x14ac:dyDescent="0.3">
      <c r="K460" s="28">
        <v>0.45800000000000002</v>
      </c>
      <c r="L460" s="40">
        <f t="shared" si="7"/>
        <v>0.86634313966173393</v>
      </c>
    </row>
    <row r="461" spans="11:12" x14ac:dyDescent="0.3">
      <c r="K461" s="28">
        <v>0.45900000000000002</v>
      </c>
      <c r="L461" s="40">
        <f t="shared" si="7"/>
        <v>0.86682648297301534</v>
      </c>
    </row>
    <row r="462" spans="11:12" x14ac:dyDescent="0.3">
      <c r="K462" s="28">
        <v>0.46</v>
      </c>
      <c r="L462" s="40">
        <f t="shared" si="7"/>
        <v>0.86730842532485997</v>
      </c>
    </row>
    <row r="463" spans="11:12" x14ac:dyDescent="0.3">
      <c r="K463" s="28">
        <v>0.46100000000000002</v>
      </c>
      <c r="L463" s="40">
        <f t="shared" si="7"/>
        <v>0.86778900918401314</v>
      </c>
    </row>
    <row r="464" spans="11:12" x14ac:dyDescent="0.3">
      <c r="K464" s="28">
        <v>0.46200000000000002</v>
      </c>
      <c r="L464" s="40">
        <f t="shared" si="7"/>
        <v>0.86826820028924601</v>
      </c>
    </row>
    <row r="465" spans="11:12" x14ac:dyDescent="0.3">
      <c r="K465" s="28">
        <v>0.46300000000000002</v>
      </c>
      <c r="L465" s="40">
        <f t="shared" si="7"/>
        <v>0.86874588184372725</v>
      </c>
    </row>
    <row r="466" spans="11:12" x14ac:dyDescent="0.3">
      <c r="K466" s="28">
        <v>0.46400000000000002</v>
      </c>
      <c r="L466" s="40">
        <f t="shared" si="7"/>
        <v>0.86922229467599899</v>
      </c>
    </row>
    <row r="467" spans="11:12" x14ac:dyDescent="0.3">
      <c r="K467" s="28">
        <v>0.46500000000000002</v>
      </c>
      <c r="L467" s="40">
        <f t="shared" si="7"/>
        <v>0.86969729218753133</v>
      </c>
    </row>
    <row r="468" spans="11:12" x14ac:dyDescent="0.3">
      <c r="K468" s="28">
        <v>0.46600000000000003</v>
      </c>
      <c r="L468" s="40">
        <f t="shared" si="7"/>
        <v>0.87017093639477561</v>
      </c>
    </row>
    <row r="469" spans="11:12" x14ac:dyDescent="0.3">
      <c r="K469" s="28">
        <v>0.46700000000000003</v>
      </c>
      <c r="L469" s="40">
        <f t="shared" si="7"/>
        <v>0.87064314030206558</v>
      </c>
    </row>
    <row r="470" spans="11:12" x14ac:dyDescent="0.3">
      <c r="K470" s="28">
        <v>0.46800000000000003</v>
      </c>
      <c r="L470" s="40">
        <f t="shared" si="7"/>
        <v>0.87111401063024374</v>
      </c>
    </row>
    <row r="471" spans="11:12" x14ac:dyDescent="0.3">
      <c r="K471" s="28">
        <v>0.46900000000000003</v>
      </c>
      <c r="L471" s="40">
        <f t="shared" si="7"/>
        <v>0.87158349018577597</v>
      </c>
    </row>
    <row r="472" spans="11:12" x14ac:dyDescent="0.3">
      <c r="K472" s="28">
        <v>0.47000000000000003</v>
      </c>
      <c r="L472" s="40">
        <f t="shared" si="7"/>
        <v>0.87205158194621302</v>
      </c>
    </row>
    <row r="473" spans="11:12" x14ac:dyDescent="0.3">
      <c r="K473" s="28">
        <v>0.47100000000000003</v>
      </c>
      <c r="L473" s="40">
        <f t="shared" si="7"/>
        <v>0.8725183292618981</v>
      </c>
    </row>
    <row r="474" spans="11:12" x14ac:dyDescent="0.3">
      <c r="K474" s="28">
        <v>0.47200000000000003</v>
      </c>
      <c r="L474" s="40">
        <f t="shared" si="7"/>
        <v>0.87298370730982899</v>
      </c>
    </row>
    <row r="475" spans="11:12" x14ac:dyDescent="0.3">
      <c r="K475" s="28">
        <v>0.47300000000000003</v>
      </c>
      <c r="L475" s="40">
        <f t="shared" si="7"/>
        <v>0.87344765826541448</v>
      </c>
    </row>
    <row r="476" spans="11:12" x14ac:dyDescent="0.3">
      <c r="K476" s="28">
        <v>0.47400000000000003</v>
      </c>
      <c r="L476" s="40">
        <f t="shared" si="7"/>
        <v>0.87391030311554652</v>
      </c>
    </row>
    <row r="477" spans="11:12" x14ac:dyDescent="0.3">
      <c r="K477" s="28">
        <v>0.47500000000000003</v>
      </c>
      <c r="L477" s="40">
        <f t="shared" si="7"/>
        <v>0.87437161383856921</v>
      </c>
    </row>
    <row r="478" spans="11:12" x14ac:dyDescent="0.3">
      <c r="K478" s="28">
        <v>0.47600000000000003</v>
      </c>
      <c r="L478" s="40">
        <f t="shared" si="7"/>
        <v>0.87483153260925095</v>
      </c>
    </row>
    <row r="479" spans="11:12" x14ac:dyDescent="0.3">
      <c r="K479" s="28">
        <v>0.47700000000000004</v>
      </c>
      <c r="L479" s="40">
        <f t="shared" si="7"/>
        <v>0.87529006120650887</v>
      </c>
    </row>
    <row r="480" spans="11:12" x14ac:dyDescent="0.3">
      <c r="K480" s="28">
        <v>0.47800000000000004</v>
      </c>
      <c r="L480" s="40">
        <f t="shared" si="7"/>
        <v>0.87574724611413179</v>
      </c>
    </row>
    <row r="481" spans="11:12" x14ac:dyDescent="0.3">
      <c r="K481" s="28">
        <v>0.47900000000000004</v>
      </c>
      <c r="L481" s="40">
        <f t="shared" si="7"/>
        <v>0.87620307420968779</v>
      </c>
    </row>
    <row r="482" spans="11:12" x14ac:dyDescent="0.3">
      <c r="K482" s="28">
        <v>0.48</v>
      </c>
      <c r="L482" s="40">
        <f t="shared" si="7"/>
        <v>0.87665753731058305</v>
      </c>
    </row>
    <row r="483" spans="11:12" x14ac:dyDescent="0.3">
      <c r="K483" s="28">
        <v>0.48099999999999998</v>
      </c>
      <c r="L483" s="40">
        <f t="shared" si="7"/>
        <v>0.87711067954764432</v>
      </c>
    </row>
    <row r="484" spans="11:12" x14ac:dyDescent="0.3">
      <c r="K484" s="28">
        <v>0.48199999999999998</v>
      </c>
      <c r="L484" s="40">
        <f t="shared" si="7"/>
        <v>0.87756247108294283</v>
      </c>
    </row>
    <row r="485" spans="11:12" x14ac:dyDescent="0.3">
      <c r="K485" s="28">
        <v>0.48299999999999998</v>
      </c>
      <c r="L485" s="40">
        <f t="shared" si="7"/>
        <v>0.87801285486324043</v>
      </c>
    </row>
    <row r="486" spans="11:12" x14ac:dyDescent="0.3">
      <c r="K486" s="28">
        <v>0.48399999999999999</v>
      </c>
      <c r="L486" s="40">
        <f t="shared" si="7"/>
        <v>0.87846195264681359</v>
      </c>
    </row>
    <row r="487" spans="11:12" x14ac:dyDescent="0.3">
      <c r="K487" s="28">
        <v>0.48499999999999999</v>
      </c>
      <c r="L487" s="40">
        <f t="shared" si="7"/>
        <v>0.87890967757870708</v>
      </c>
    </row>
    <row r="488" spans="11:12" x14ac:dyDescent="0.3">
      <c r="K488" s="28">
        <v>0.48599999999999999</v>
      </c>
      <c r="L488" s="40">
        <f t="shared" si="7"/>
        <v>0.87935609181434016</v>
      </c>
    </row>
    <row r="489" spans="11:12" x14ac:dyDescent="0.3">
      <c r="K489" s="28">
        <v>0.48699999999999999</v>
      </c>
      <c r="L489" s="40">
        <f t="shared" si="7"/>
        <v>0.87980113829935258</v>
      </c>
    </row>
    <row r="490" spans="11:12" x14ac:dyDescent="0.3">
      <c r="K490" s="28">
        <v>0.48799999999999999</v>
      </c>
      <c r="L490" s="40">
        <f t="shared" si="7"/>
        <v>0.88024486428888316</v>
      </c>
    </row>
    <row r="491" spans="11:12" x14ac:dyDescent="0.3">
      <c r="K491" s="28">
        <v>0.48899999999999999</v>
      </c>
      <c r="L491" s="40">
        <f t="shared" si="7"/>
        <v>0.88068724998128967</v>
      </c>
    </row>
    <row r="492" spans="11:12" x14ac:dyDescent="0.3">
      <c r="K492" s="28">
        <v>0.49</v>
      </c>
      <c r="L492" s="40">
        <f t="shared" si="7"/>
        <v>0.88112830111208307</v>
      </c>
    </row>
    <row r="493" spans="11:12" x14ac:dyDescent="0.3">
      <c r="K493" s="28">
        <v>0.49099999999999999</v>
      </c>
      <c r="L493" s="40">
        <f t="shared" si="7"/>
        <v>0.88156805643480129</v>
      </c>
    </row>
    <row r="494" spans="11:12" x14ac:dyDescent="0.3">
      <c r="K494" s="28">
        <v>0.49199999999999999</v>
      </c>
      <c r="L494" s="40">
        <f t="shared" si="7"/>
        <v>0.88200648613788224</v>
      </c>
    </row>
    <row r="495" spans="11:12" x14ac:dyDescent="0.3">
      <c r="K495" s="28">
        <v>0.49299999999999999</v>
      </c>
      <c r="L495" s="40">
        <f t="shared" si="7"/>
        <v>0.88244353274197007</v>
      </c>
    </row>
    <row r="496" spans="11:12" x14ac:dyDescent="0.3">
      <c r="K496" s="28">
        <v>0.49399999999999999</v>
      </c>
      <c r="L496" s="40">
        <f t="shared" si="7"/>
        <v>0.88287925797462485</v>
      </c>
    </row>
    <row r="497" spans="11:12" x14ac:dyDescent="0.3">
      <c r="K497" s="28">
        <v>0.495</v>
      </c>
      <c r="L497" s="40">
        <f t="shared" si="7"/>
        <v>0.8833137235663745</v>
      </c>
    </row>
    <row r="498" spans="11:12" x14ac:dyDescent="0.3">
      <c r="K498" s="28">
        <v>0.496</v>
      </c>
      <c r="L498" s="40">
        <f t="shared" si="7"/>
        <v>0.88374687203724311</v>
      </c>
    </row>
    <row r="499" spans="11:12" x14ac:dyDescent="0.3">
      <c r="K499" s="28">
        <v>0.497</v>
      </c>
      <c r="L499" s="40">
        <f t="shared" si="7"/>
        <v>0.88417864590677431</v>
      </c>
    </row>
    <row r="500" spans="11:12" x14ac:dyDescent="0.3">
      <c r="K500" s="28">
        <v>0.498</v>
      </c>
      <c r="L500" s="40">
        <f t="shared" si="7"/>
        <v>0.88460916650979082</v>
      </c>
    </row>
    <row r="501" spans="11:12" x14ac:dyDescent="0.3">
      <c r="K501" s="28">
        <v>0.499</v>
      </c>
      <c r="L501" s="40">
        <f t="shared" si="7"/>
        <v>0.88503834656333213</v>
      </c>
    </row>
    <row r="502" spans="11:12" x14ac:dyDescent="0.3">
      <c r="K502" s="28">
        <v>0.5</v>
      </c>
      <c r="L502" s="40">
        <f t="shared" si="7"/>
        <v>0.88546621799468994</v>
      </c>
    </row>
    <row r="503" spans="11:12" x14ac:dyDescent="0.3">
      <c r="K503" s="28">
        <v>0.501</v>
      </c>
      <c r="L503" s="40">
        <f t="shared" si="7"/>
        <v>0.885892801278235</v>
      </c>
    </row>
    <row r="504" spans="11:12" x14ac:dyDescent="0.3">
      <c r="K504" s="28">
        <v>0.502</v>
      </c>
      <c r="L504" s="40">
        <f t="shared" si="7"/>
        <v>0.88631808052367733</v>
      </c>
    </row>
    <row r="505" spans="11:12" x14ac:dyDescent="0.3">
      <c r="K505" s="28">
        <v>0.503</v>
      </c>
      <c r="L505" s="40">
        <f t="shared" si="7"/>
        <v>0.88674199858602298</v>
      </c>
    </row>
    <row r="506" spans="11:12" x14ac:dyDescent="0.3">
      <c r="K506" s="28">
        <v>0.504</v>
      </c>
      <c r="L506" s="40">
        <f t="shared" si="7"/>
        <v>0.88716467713187608</v>
      </c>
    </row>
    <row r="507" spans="11:12" x14ac:dyDescent="0.3">
      <c r="K507" s="28">
        <v>0.505</v>
      </c>
      <c r="L507" s="40">
        <f t="shared" si="7"/>
        <v>0.8875860590168263</v>
      </c>
    </row>
    <row r="508" spans="11:12" x14ac:dyDescent="0.3">
      <c r="K508" s="28">
        <v>0.50600000000000001</v>
      </c>
      <c r="L508" s="40">
        <f t="shared" si="7"/>
        <v>0.88800614669991418</v>
      </c>
    </row>
    <row r="509" spans="11:12" x14ac:dyDescent="0.3">
      <c r="K509" s="28">
        <v>0.50700000000000001</v>
      </c>
      <c r="L509" s="40">
        <f t="shared" si="7"/>
        <v>0.88842491283738445</v>
      </c>
    </row>
    <row r="510" spans="11:12" x14ac:dyDescent="0.3">
      <c r="K510" s="28">
        <v>0.50800000000000001</v>
      </c>
      <c r="L510" s="40">
        <f t="shared" si="7"/>
        <v>0.88884240459261121</v>
      </c>
    </row>
    <row r="511" spans="11:12" x14ac:dyDescent="0.3">
      <c r="K511" s="28">
        <v>0.50900000000000001</v>
      </c>
      <c r="L511" s="40">
        <f t="shared" si="7"/>
        <v>0.88925861697340236</v>
      </c>
    </row>
    <row r="512" spans="11:12" x14ac:dyDescent="0.3">
      <c r="K512" s="28">
        <v>0.51</v>
      </c>
      <c r="L512" s="40">
        <f t="shared" si="7"/>
        <v>0.88967354900092332</v>
      </c>
    </row>
    <row r="513" spans="11:12" x14ac:dyDescent="0.3">
      <c r="K513" s="28">
        <v>0.51100000000000001</v>
      </c>
      <c r="L513" s="40">
        <f t="shared" si="7"/>
        <v>0.89008718505999485</v>
      </c>
    </row>
    <row r="514" spans="11:12" x14ac:dyDescent="0.3">
      <c r="K514" s="28">
        <v>0.51200000000000001</v>
      </c>
      <c r="L514" s="40">
        <f t="shared" si="7"/>
        <v>0.89049954155680588</v>
      </c>
    </row>
    <row r="515" spans="11:12" x14ac:dyDescent="0.3">
      <c r="K515" s="28">
        <v>0.51300000000000001</v>
      </c>
      <c r="L515" s="40">
        <f t="shared" ref="L515:L578" si="8">cubic_Spline($A$2:$A$152,$B$2:$B$152,K515)</f>
        <v>0.89091062083597128</v>
      </c>
    </row>
    <row r="516" spans="11:12" x14ac:dyDescent="0.3">
      <c r="K516" s="28">
        <v>0.51400000000000001</v>
      </c>
      <c r="L516" s="40">
        <f t="shared" si="8"/>
        <v>0.89132042523981392</v>
      </c>
    </row>
    <row r="517" spans="11:12" x14ac:dyDescent="0.3">
      <c r="K517" s="28">
        <v>0.51500000000000001</v>
      </c>
      <c r="L517" s="40">
        <f t="shared" si="8"/>
        <v>0.8917289571135214</v>
      </c>
    </row>
    <row r="518" spans="11:12" x14ac:dyDescent="0.3">
      <c r="K518" s="28">
        <v>0.51600000000000001</v>
      </c>
      <c r="L518" s="40">
        <f t="shared" si="8"/>
        <v>0.89213624860343255</v>
      </c>
    </row>
    <row r="519" spans="11:12" x14ac:dyDescent="0.3">
      <c r="K519" s="28">
        <v>0.51700000000000002</v>
      </c>
      <c r="L519" s="40">
        <f t="shared" si="8"/>
        <v>0.89254221264613176</v>
      </c>
    </row>
    <row r="520" spans="11:12" x14ac:dyDescent="0.3">
      <c r="K520" s="28">
        <v>0.51800000000000002</v>
      </c>
      <c r="L520" s="40">
        <f t="shared" si="8"/>
        <v>0.89294697079575902</v>
      </c>
    </row>
    <row r="521" spans="11:12" x14ac:dyDescent="0.3">
      <c r="K521" s="28">
        <v>0.51900000000000002</v>
      </c>
      <c r="L521" s="40">
        <f t="shared" si="8"/>
        <v>0.89335043598872366</v>
      </c>
    </row>
    <row r="522" spans="11:12" x14ac:dyDescent="0.3">
      <c r="K522" s="28">
        <v>0.52</v>
      </c>
      <c r="L522" s="40">
        <f t="shared" si="8"/>
        <v>0.89375261834961117</v>
      </c>
    </row>
    <row r="523" spans="11:12" x14ac:dyDescent="0.3">
      <c r="K523" s="28">
        <v>0.52100000000000002</v>
      </c>
      <c r="L523" s="40">
        <f t="shared" si="8"/>
        <v>0.89415360043869008</v>
      </c>
    </row>
    <row r="524" spans="11:12" x14ac:dyDescent="0.3">
      <c r="K524" s="28">
        <v>0.52200000000000002</v>
      </c>
      <c r="L524" s="40">
        <f t="shared" si="8"/>
        <v>0.89455332653188191</v>
      </c>
    </row>
    <row r="525" spans="11:12" x14ac:dyDescent="0.3">
      <c r="K525" s="28">
        <v>0.52300000000000002</v>
      </c>
      <c r="L525" s="40">
        <f t="shared" si="8"/>
        <v>0.89495167989025592</v>
      </c>
    </row>
    <row r="526" spans="11:12" x14ac:dyDescent="0.3">
      <c r="K526" s="28">
        <v>0.52400000000000002</v>
      </c>
      <c r="L526" s="40">
        <f t="shared" si="8"/>
        <v>0.89534890140049972</v>
      </c>
    </row>
    <row r="527" spans="11:12" x14ac:dyDescent="0.3">
      <c r="K527" s="28">
        <v>0.52500000000000002</v>
      </c>
      <c r="L527" s="40">
        <f t="shared" si="8"/>
        <v>0.89574484452192271</v>
      </c>
    </row>
    <row r="528" spans="11:12" x14ac:dyDescent="0.3">
      <c r="K528" s="28">
        <v>0.52600000000000002</v>
      </c>
      <c r="L528" s="40">
        <f t="shared" si="8"/>
        <v>0.89613957132894062</v>
      </c>
    </row>
    <row r="529" spans="11:12" x14ac:dyDescent="0.3">
      <c r="K529" s="28">
        <v>0.52700000000000002</v>
      </c>
      <c r="L529" s="40">
        <f t="shared" si="8"/>
        <v>0.89653299488390148</v>
      </c>
    </row>
    <row r="530" spans="11:12" x14ac:dyDescent="0.3">
      <c r="K530" s="28">
        <v>0.52800000000000002</v>
      </c>
      <c r="L530" s="40">
        <f t="shared" si="8"/>
        <v>0.89692522196552338</v>
      </c>
    </row>
    <row r="531" spans="11:12" x14ac:dyDescent="0.3">
      <c r="K531" s="28">
        <v>0.52900000000000003</v>
      </c>
      <c r="L531" s="40">
        <f t="shared" si="8"/>
        <v>0.89731618798772406</v>
      </c>
    </row>
    <row r="532" spans="11:12" x14ac:dyDescent="0.3">
      <c r="K532" s="28">
        <v>0.53</v>
      </c>
      <c r="L532" s="40">
        <f t="shared" si="8"/>
        <v>0.89770592906742297</v>
      </c>
    </row>
    <row r="533" spans="11:12" x14ac:dyDescent="0.3">
      <c r="K533" s="28">
        <v>0.53100000000000003</v>
      </c>
      <c r="L533" s="40">
        <f t="shared" si="8"/>
        <v>0.89809443431323877</v>
      </c>
    </row>
    <row r="534" spans="11:12" x14ac:dyDescent="0.3">
      <c r="K534" s="28">
        <v>0.53200000000000003</v>
      </c>
      <c r="L534" s="40">
        <f t="shared" si="8"/>
        <v>0.89848170845377762</v>
      </c>
    </row>
    <row r="535" spans="11:12" x14ac:dyDescent="0.3">
      <c r="K535" s="28">
        <v>0.53300000000000003</v>
      </c>
      <c r="L535" s="40">
        <f t="shared" si="8"/>
        <v>0.8988676945471904</v>
      </c>
    </row>
    <row r="536" spans="11:12" x14ac:dyDescent="0.3">
      <c r="K536" s="28">
        <v>0.53400000000000003</v>
      </c>
      <c r="L536" s="40">
        <f t="shared" si="8"/>
        <v>0.89925251446335674</v>
      </c>
    </row>
    <row r="537" spans="11:12" x14ac:dyDescent="0.3">
      <c r="K537" s="28">
        <v>0.53500000000000003</v>
      </c>
      <c r="L537" s="40">
        <f t="shared" si="8"/>
        <v>0.89963614106330136</v>
      </c>
    </row>
    <row r="538" spans="11:12" x14ac:dyDescent="0.3">
      <c r="K538" s="28">
        <v>0.53600000000000003</v>
      </c>
      <c r="L538" s="40">
        <f t="shared" si="8"/>
        <v>0.90001851740459904</v>
      </c>
    </row>
    <row r="539" spans="11:12" x14ac:dyDescent="0.3">
      <c r="K539" s="28">
        <v>0.53700000000000003</v>
      </c>
      <c r="L539" s="40">
        <f t="shared" si="8"/>
        <v>0.90039967595134496</v>
      </c>
    </row>
    <row r="540" spans="11:12" x14ac:dyDescent="0.3">
      <c r="K540" s="28">
        <v>0.53800000000000003</v>
      </c>
      <c r="L540" s="40">
        <f t="shared" si="8"/>
        <v>0.90077961936656137</v>
      </c>
    </row>
    <row r="541" spans="11:12" x14ac:dyDescent="0.3">
      <c r="K541" s="28">
        <v>0.53900000000000003</v>
      </c>
      <c r="L541" s="40">
        <f t="shared" si="8"/>
        <v>0.90115834286127172</v>
      </c>
    </row>
    <row r="542" spans="11:12" x14ac:dyDescent="0.3">
      <c r="K542" s="28">
        <v>0.54</v>
      </c>
      <c r="L542" s="40">
        <f t="shared" si="8"/>
        <v>0.90153583341771037</v>
      </c>
    </row>
    <row r="543" spans="11:12" x14ac:dyDescent="0.3">
      <c r="K543" s="28">
        <v>0.54100000000000004</v>
      </c>
      <c r="L543" s="40">
        <f t="shared" si="8"/>
        <v>0.90191218214675828</v>
      </c>
    </row>
    <row r="544" spans="11:12" x14ac:dyDescent="0.3">
      <c r="K544" s="28">
        <v>0.54200000000000004</v>
      </c>
      <c r="L544" s="40">
        <f t="shared" si="8"/>
        <v>0.90228732626395824</v>
      </c>
    </row>
    <row r="545" spans="11:12" x14ac:dyDescent="0.3">
      <c r="K545" s="28">
        <v>0.54300000000000004</v>
      </c>
      <c r="L545" s="40">
        <f t="shared" si="8"/>
        <v>0.90266114909359796</v>
      </c>
    </row>
    <row r="546" spans="11:12" x14ac:dyDescent="0.3">
      <c r="K546" s="28">
        <v>0.54400000000000004</v>
      </c>
      <c r="L546" s="40">
        <f t="shared" si="8"/>
        <v>0.90303389158567549</v>
      </c>
    </row>
    <row r="547" spans="11:12" x14ac:dyDescent="0.3">
      <c r="K547" s="28">
        <v>0.54500000000000004</v>
      </c>
      <c r="L547" s="40">
        <f t="shared" si="8"/>
        <v>0.90340537746037297</v>
      </c>
    </row>
    <row r="548" spans="11:12" x14ac:dyDescent="0.3">
      <c r="K548" s="28">
        <v>0.54600000000000004</v>
      </c>
      <c r="L548" s="40">
        <f t="shared" si="8"/>
        <v>0.90377572845999388</v>
      </c>
    </row>
    <row r="549" spans="11:12" x14ac:dyDescent="0.3">
      <c r="K549" s="28">
        <v>0.54700000000000004</v>
      </c>
      <c r="L549" s="40">
        <f t="shared" si="8"/>
        <v>0.90414482790782436</v>
      </c>
    </row>
    <row r="550" spans="11:12" x14ac:dyDescent="0.3">
      <c r="K550" s="28">
        <v>0.54800000000000004</v>
      </c>
      <c r="L550" s="40">
        <f t="shared" si="8"/>
        <v>0.90451276774463074</v>
      </c>
    </row>
    <row r="551" spans="11:12" x14ac:dyDescent="0.3">
      <c r="K551" s="28">
        <v>0.54900000000000004</v>
      </c>
      <c r="L551" s="40">
        <f t="shared" si="8"/>
        <v>0.90487950579934051</v>
      </c>
    </row>
    <row r="552" spans="11:12" x14ac:dyDescent="0.3">
      <c r="K552" s="28">
        <v>0.55000000000000004</v>
      </c>
      <c r="L552" s="40">
        <f t="shared" si="8"/>
        <v>0.90524505508468944</v>
      </c>
    </row>
    <row r="553" spans="11:12" x14ac:dyDescent="0.3">
      <c r="K553" s="28">
        <v>0.55100000000000005</v>
      </c>
      <c r="L553" s="40">
        <f t="shared" si="8"/>
        <v>0.90560947201943554</v>
      </c>
    </row>
    <row r="554" spans="11:12" x14ac:dyDescent="0.3">
      <c r="K554" s="28">
        <v>0.55200000000000005</v>
      </c>
      <c r="L554" s="40">
        <f t="shared" si="8"/>
        <v>0.90597264997956084</v>
      </c>
    </row>
    <row r="555" spans="11:12" x14ac:dyDescent="0.3">
      <c r="K555" s="28">
        <v>0.55300000000000005</v>
      </c>
      <c r="L555" s="40">
        <f t="shared" si="8"/>
        <v>0.90633465101458455</v>
      </c>
    </row>
    <row r="556" spans="11:12" x14ac:dyDescent="0.3">
      <c r="K556" s="28">
        <v>0.55400000000000005</v>
      </c>
      <c r="L556" s="40">
        <f t="shared" si="8"/>
        <v>0.90669547756726798</v>
      </c>
    </row>
    <row r="557" spans="11:12" x14ac:dyDescent="0.3">
      <c r="K557" s="28">
        <v>0.55500000000000005</v>
      </c>
      <c r="L557" s="40">
        <f t="shared" si="8"/>
        <v>0.90705519168765891</v>
      </c>
    </row>
    <row r="558" spans="11:12" x14ac:dyDescent="0.3">
      <c r="K558" s="28">
        <v>0.55600000000000005</v>
      </c>
      <c r="L558" s="40">
        <f t="shared" si="8"/>
        <v>0.90741370641311259</v>
      </c>
    </row>
    <row r="559" spans="11:12" x14ac:dyDescent="0.3">
      <c r="K559" s="28">
        <v>0.55700000000000005</v>
      </c>
      <c r="L559" s="40">
        <f t="shared" si="8"/>
        <v>0.90777102418752331</v>
      </c>
    </row>
    <row r="560" spans="11:12" x14ac:dyDescent="0.3">
      <c r="K560" s="28">
        <v>0.55800000000000005</v>
      </c>
      <c r="L560" s="40">
        <f t="shared" si="8"/>
        <v>0.90812720706062755</v>
      </c>
    </row>
    <row r="561" spans="11:12" x14ac:dyDescent="0.3">
      <c r="K561" s="28">
        <v>0.55900000000000005</v>
      </c>
      <c r="L561" s="40">
        <f t="shared" si="8"/>
        <v>0.9084822202232552</v>
      </c>
    </row>
    <row r="562" spans="11:12" x14ac:dyDescent="0.3">
      <c r="K562" s="28">
        <v>0.56000000000000005</v>
      </c>
      <c r="L562" s="40">
        <f t="shared" si="8"/>
        <v>0.90883608761557533</v>
      </c>
    </row>
    <row r="563" spans="11:12" x14ac:dyDescent="0.3">
      <c r="K563" s="28">
        <v>0.56100000000000005</v>
      </c>
      <c r="L563" s="40">
        <f t="shared" si="8"/>
        <v>0.90918874374546366</v>
      </c>
    </row>
    <row r="564" spans="11:12" x14ac:dyDescent="0.3">
      <c r="K564" s="28">
        <v>0.56200000000000006</v>
      </c>
      <c r="L564" s="40">
        <f t="shared" si="8"/>
        <v>0.90954030481919168</v>
      </c>
    </row>
    <row r="565" spans="11:12" x14ac:dyDescent="0.3">
      <c r="K565" s="28">
        <v>0.56300000000000006</v>
      </c>
      <c r="L565" s="40">
        <f t="shared" si="8"/>
        <v>0.90989065433786109</v>
      </c>
    </row>
    <row r="566" spans="11:12" x14ac:dyDescent="0.3">
      <c r="K566" s="28">
        <v>0.56400000000000006</v>
      </c>
      <c r="L566" s="40">
        <f t="shared" si="8"/>
        <v>0.91023991421908279</v>
      </c>
    </row>
    <row r="567" spans="11:12" x14ac:dyDescent="0.3">
      <c r="K567" s="28">
        <v>0.56500000000000006</v>
      </c>
      <c r="L567" s="40">
        <f t="shared" si="8"/>
        <v>0.9105880275691205</v>
      </c>
    </row>
    <row r="568" spans="11:12" x14ac:dyDescent="0.3">
      <c r="K568" s="28">
        <v>0.56600000000000006</v>
      </c>
      <c r="L568" s="40">
        <f t="shared" si="8"/>
        <v>0.91093496729550227</v>
      </c>
    </row>
    <row r="569" spans="11:12" x14ac:dyDescent="0.3">
      <c r="K569" s="28">
        <v>0.56700000000000006</v>
      </c>
      <c r="L569" s="40">
        <f t="shared" si="8"/>
        <v>0.91128076590998164</v>
      </c>
    </row>
    <row r="570" spans="11:12" x14ac:dyDescent="0.3">
      <c r="K570" s="28">
        <v>0.56800000000000006</v>
      </c>
      <c r="L570" s="40">
        <f t="shared" si="8"/>
        <v>0.9116254559254845</v>
      </c>
    </row>
    <row r="571" spans="11:12" x14ac:dyDescent="0.3">
      <c r="K571" s="28">
        <v>0.56900000000000006</v>
      </c>
      <c r="L571" s="40">
        <f t="shared" si="8"/>
        <v>0.91196898044663921</v>
      </c>
    </row>
    <row r="572" spans="11:12" x14ac:dyDescent="0.3">
      <c r="K572" s="28">
        <v>0.57000000000000006</v>
      </c>
      <c r="L572" s="40">
        <f t="shared" si="8"/>
        <v>0.91231137447161648</v>
      </c>
    </row>
    <row r="573" spans="11:12" x14ac:dyDescent="0.3">
      <c r="K573" s="28">
        <v>0.57100000000000006</v>
      </c>
      <c r="L573" s="40">
        <f t="shared" si="8"/>
        <v>0.9126526419881309</v>
      </c>
    </row>
    <row r="574" spans="11:12" x14ac:dyDescent="0.3">
      <c r="K574" s="28">
        <v>0.57200000000000006</v>
      </c>
      <c r="L574" s="40">
        <f t="shared" si="8"/>
        <v>0.91299278168456932</v>
      </c>
    </row>
    <row r="575" spans="11:12" x14ac:dyDescent="0.3">
      <c r="K575" s="28">
        <v>0.57300000000000006</v>
      </c>
      <c r="L575" s="40">
        <f t="shared" si="8"/>
        <v>0.91333179601312731</v>
      </c>
    </row>
    <row r="576" spans="11:12" x14ac:dyDescent="0.3">
      <c r="K576" s="28">
        <v>0.57400000000000007</v>
      </c>
      <c r="L576" s="40">
        <f t="shared" si="8"/>
        <v>0.91366968742397947</v>
      </c>
    </row>
    <row r="577" spans="11:12" x14ac:dyDescent="0.3">
      <c r="K577" s="28">
        <v>0.57500000000000007</v>
      </c>
      <c r="L577" s="40">
        <f t="shared" si="8"/>
        <v>0.91400648817214902</v>
      </c>
    </row>
    <row r="578" spans="11:12" x14ac:dyDescent="0.3">
      <c r="K578" s="28">
        <v>0.57600000000000007</v>
      </c>
      <c r="L578" s="40">
        <f t="shared" si="8"/>
        <v>0.91434214110465895</v>
      </c>
    </row>
    <row r="579" spans="11:12" x14ac:dyDescent="0.3">
      <c r="K579" s="28">
        <v>0.57699999999999996</v>
      </c>
      <c r="L579" s="40">
        <f t="shared" ref="L579:L642" si="9">cubic_Spline($A$2:$A$152,$B$2:$B$152,K579)</f>
        <v>0.91467664867275711</v>
      </c>
    </row>
    <row r="580" spans="11:12" x14ac:dyDescent="0.3">
      <c r="K580" s="28">
        <v>0.57799999999999996</v>
      </c>
      <c r="L580" s="40">
        <f t="shared" si="9"/>
        <v>0.91501010273583427</v>
      </c>
    </row>
    <row r="581" spans="11:12" x14ac:dyDescent="0.3">
      <c r="K581" s="28">
        <v>0.57899999999999996</v>
      </c>
      <c r="L581" s="40">
        <f t="shared" si="9"/>
        <v>0.91534241633801683</v>
      </c>
    </row>
    <row r="582" spans="11:12" x14ac:dyDescent="0.3">
      <c r="K582" s="28">
        <v>0.57999999999999996</v>
      </c>
      <c r="L582" s="40">
        <f t="shared" si="9"/>
        <v>0.91567359754257405</v>
      </c>
    </row>
    <row r="583" spans="11:12" x14ac:dyDescent="0.3">
      <c r="K583" s="28">
        <v>0.58099999999999996</v>
      </c>
      <c r="L583" s="40">
        <f t="shared" si="9"/>
        <v>0.91600375121561395</v>
      </c>
    </row>
    <row r="584" spans="11:12" x14ac:dyDescent="0.3">
      <c r="K584" s="28">
        <v>0.58199999999999996</v>
      </c>
      <c r="L584" s="40">
        <f t="shared" si="9"/>
        <v>0.91633274239069273</v>
      </c>
    </row>
    <row r="585" spans="11:12" x14ac:dyDescent="0.3">
      <c r="K585" s="28">
        <v>0.58299999999999996</v>
      </c>
      <c r="L585" s="40">
        <f t="shared" si="9"/>
        <v>0.91666057392967049</v>
      </c>
    </row>
    <row r="586" spans="11:12" x14ac:dyDescent="0.3">
      <c r="K586" s="28">
        <v>0.58399999999999996</v>
      </c>
      <c r="L586" s="40">
        <f t="shared" si="9"/>
        <v>0.91698742750636419</v>
      </c>
    </row>
    <row r="587" spans="11:12" x14ac:dyDescent="0.3">
      <c r="K587" s="28">
        <v>0.58499999999999996</v>
      </c>
      <c r="L587" s="40">
        <f t="shared" si="9"/>
        <v>0.917313127169194</v>
      </c>
    </row>
    <row r="588" spans="11:12" x14ac:dyDescent="0.3">
      <c r="K588" s="28">
        <v>0.58599999999999997</v>
      </c>
      <c r="L588" s="40">
        <f t="shared" si="9"/>
        <v>0.91763776518647078</v>
      </c>
    </row>
    <row r="589" spans="11:12" x14ac:dyDescent="0.3">
      <c r="K589" s="28">
        <v>0.58699999999999997</v>
      </c>
      <c r="L589" s="40">
        <f t="shared" si="9"/>
        <v>0.9179612550121703</v>
      </c>
    </row>
    <row r="590" spans="11:12" x14ac:dyDescent="0.3">
      <c r="K590" s="28">
        <v>0.58799999999999997</v>
      </c>
      <c r="L590" s="40">
        <f t="shared" si="9"/>
        <v>0.91828371871764503</v>
      </c>
    </row>
    <row r="591" spans="11:12" x14ac:dyDescent="0.3">
      <c r="K591" s="28">
        <v>0.58899999999999997</v>
      </c>
      <c r="L591" s="40">
        <f t="shared" si="9"/>
        <v>0.91860507720730067</v>
      </c>
    </row>
    <row r="592" spans="11:12" x14ac:dyDescent="0.3">
      <c r="K592" s="28">
        <v>0.59</v>
      </c>
      <c r="L592" s="40">
        <f t="shared" si="9"/>
        <v>0.91892537910928251</v>
      </c>
    </row>
    <row r="593" spans="11:12" x14ac:dyDescent="0.3">
      <c r="K593" s="28">
        <v>0.59099999999999997</v>
      </c>
      <c r="L593" s="40">
        <f t="shared" si="9"/>
        <v>0.91924459176810314</v>
      </c>
    </row>
    <row r="594" spans="11:12" x14ac:dyDescent="0.3">
      <c r="K594" s="28">
        <v>0.59199999999999997</v>
      </c>
      <c r="L594" s="40">
        <f t="shared" si="9"/>
        <v>0.91956272972922271</v>
      </c>
    </row>
    <row r="595" spans="11:12" x14ac:dyDescent="0.3">
      <c r="K595" s="28">
        <v>0.59299999999999997</v>
      </c>
      <c r="L595" s="40">
        <f t="shared" si="9"/>
        <v>0.91987973583164295</v>
      </c>
    </row>
    <row r="596" spans="11:12" x14ac:dyDescent="0.3">
      <c r="K596" s="28">
        <v>0.59399999999999997</v>
      </c>
      <c r="L596" s="40">
        <f t="shared" si="9"/>
        <v>0.9201957317263737</v>
      </c>
    </row>
    <row r="597" spans="11:12" x14ac:dyDescent="0.3">
      <c r="K597" s="28">
        <v>0.59499999999999997</v>
      </c>
      <c r="L597" s="40">
        <f t="shared" si="9"/>
        <v>0.92051063045057613</v>
      </c>
    </row>
    <row r="598" spans="11:12" x14ac:dyDescent="0.3">
      <c r="K598" s="28">
        <v>0.59599999999999997</v>
      </c>
      <c r="L598" s="40">
        <f t="shared" si="9"/>
        <v>0.92082449405203837</v>
      </c>
    </row>
    <row r="599" spans="11:12" x14ac:dyDescent="0.3">
      <c r="K599" s="28">
        <v>0.59699999999999998</v>
      </c>
      <c r="L599" s="40">
        <f t="shared" si="9"/>
        <v>0.92113726536886897</v>
      </c>
    </row>
    <row r="600" spans="11:12" x14ac:dyDescent="0.3">
      <c r="K600" s="28">
        <v>0.59799999999999998</v>
      </c>
      <c r="L600" s="40">
        <f t="shared" si="9"/>
        <v>0.92144902135071827</v>
      </c>
    </row>
    <row r="601" spans="11:12" x14ac:dyDescent="0.3">
      <c r="K601" s="28">
        <v>0.59899999999999998</v>
      </c>
      <c r="L601" s="40">
        <f t="shared" si="9"/>
        <v>0.92175968993438606</v>
      </c>
    </row>
    <row r="602" spans="11:12" x14ac:dyDescent="0.3">
      <c r="K602" s="28">
        <v>0.6</v>
      </c>
      <c r="L602" s="40">
        <f t="shared" si="9"/>
        <v>0.92206931075787779</v>
      </c>
    </row>
    <row r="603" spans="11:12" x14ac:dyDescent="0.3">
      <c r="K603" s="28">
        <v>0.60099999999999998</v>
      </c>
      <c r="L603" s="40">
        <f t="shared" si="9"/>
        <v>0.92237788010547217</v>
      </c>
    </row>
    <row r="604" spans="11:12" x14ac:dyDescent="0.3">
      <c r="K604" s="28">
        <v>0.60199999999999998</v>
      </c>
      <c r="L604" s="40">
        <f t="shared" si="9"/>
        <v>0.92268539935502725</v>
      </c>
    </row>
    <row r="605" spans="11:12" x14ac:dyDescent="0.3">
      <c r="K605" s="28">
        <v>0.60299999999999998</v>
      </c>
      <c r="L605" s="40">
        <f t="shared" si="9"/>
        <v>0.92299181151338405</v>
      </c>
    </row>
    <row r="606" spans="11:12" x14ac:dyDescent="0.3">
      <c r="K606" s="28">
        <v>0.60399999999999998</v>
      </c>
      <c r="L606" s="40">
        <f t="shared" si="9"/>
        <v>0.92329723839943489</v>
      </c>
    </row>
    <row r="607" spans="11:12" x14ac:dyDescent="0.3">
      <c r="K607" s="28">
        <v>0.60499999999999998</v>
      </c>
      <c r="L607" s="40">
        <f t="shared" si="9"/>
        <v>0.92360165282281392</v>
      </c>
    </row>
    <row r="608" spans="11:12" x14ac:dyDescent="0.3">
      <c r="K608" s="28">
        <v>0.60599999999999998</v>
      </c>
      <c r="L608" s="40">
        <f t="shared" si="9"/>
        <v>0.92390499778987012</v>
      </c>
    </row>
    <row r="609" spans="11:12" x14ac:dyDescent="0.3">
      <c r="K609" s="28">
        <v>0.60699999999999998</v>
      </c>
      <c r="L609" s="40">
        <f t="shared" si="9"/>
        <v>0.92420730571353826</v>
      </c>
    </row>
    <row r="610" spans="11:12" x14ac:dyDescent="0.3">
      <c r="K610" s="28">
        <v>0.60799999999999998</v>
      </c>
      <c r="L610" s="40">
        <f t="shared" si="9"/>
        <v>0.92450856430433603</v>
      </c>
    </row>
    <row r="611" spans="11:12" x14ac:dyDescent="0.3">
      <c r="K611" s="28">
        <v>0.60899999999999999</v>
      </c>
      <c r="L611" s="40">
        <f t="shared" si="9"/>
        <v>0.92480880597505433</v>
      </c>
    </row>
    <row r="612" spans="11:12" x14ac:dyDescent="0.3">
      <c r="K612" s="28">
        <v>0.61</v>
      </c>
      <c r="L612" s="40">
        <f t="shared" si="9"/>
        <v>0.92510799918769704</v>
      </c>
    </row>
    <row r="613" spans="11:12" x14ac:dyDescent="0.3">
      <c r="K613" s="28">
        <v>0.61099999999999999</v>
      </c>
      <c r="L613" s="40">
        <f t="shared" si="9"/>
        <v>0.92540619132024249</v>
      </c>
    </row>
    <row r="614" spans="11:12" x14ac:dyDescent="0.3">
      <c r="K614" s="28">
        <v>0.61199999999999999</v>
      </c>
      <c r="L614" s="40">
        <f t="shared" si="9"/>
        <v>0.92570335958803474</v>
      </c>
    </row>
    <row r="615" spans="11:12" x14ac:dyDescent="0.3">
      <c r="K615" s="28">
        <v>0.61299999999999999</v>
      </c>
      <c r="L615" s="40">
        <f t="shared" si="9"/>
        <v>0.92599944712087945</v>
      </c>
    </row>
    <row r="616" spans="11:12" x14ac:dyDescent="0.3">
      <c r="K616" s="28">
        <v>0.61399999999999999</v>
      </c>
      <c r="L616" s="40">
        <f t="shared" si="9"/>
        <v>0.92629457586068109</v>
      </c>
    </row>
    <row r="617" spans="11:12" x14ac:dyDescent="0.3">
      <c r="K617" s="28">
        <v>0.61499999999999999</v>
      </c>
      <c r="L617" s="40">
        <f t="shared" si="9"/>
        <v>0.92658871874002724</v>
      </c>
    </row>
    <row r="618" spans="11:12" x14ac:dyDescent="0.3">
      <c r="K618" s="28">
        <v>0.61599999999999999</v>
      </c>
      <c r="L618" s="40">
        <f t="shared" si="9"/>
        <v>0.92688181888824395</v>
      </c>
    </row>
    <row r="619" spans="11:12" x14ac:dyDescent="0.3">
      <c r="K619" s="28">
        <v>0.61699999999999999</v>
      </c>
      <c r="L619" s="40">
        <f t="shared" si="9"/>
        <v>0.92717387903893078</v>
      </c>
    </row>
    <row r="620" spans="11:12" x14ac:dyDescent="0.3">
      <c r="K620" s="28">
        <v>0.61799999999999999</v>
      </c>
      <c r="L620" s="40">
        <f t="shared" si="9"/>
        <v>0.92746494663021029</v>
      </c>
    </row>
    <row r="621" spans="11:12" x14ac:dyDescent="0.3">
      <c r="K621" s="28">
        <v>0.61899999999999999</v>
      </c>
      <c r="L621" s="40">
        <f t="shared" si="9"/>
        <v>0.9277550169449611</v>
      </c>
    </row>
    <row r="622" spans="11:12" x14ac:dyDescent="0.3">
      <c r="K622" s="28">
        <v>0.62</v>
      </c>
      <c r="L622" s="40">
        <f t="shared" si="9"/>
        <v>0.92804405406445689</v>
      </c>
    </row>
    <row r="623" spans="11:12" x14ac:dyDescent="0.3">
      <c r="K623" s="28">
        <v>0.621</v>
      </c>
      <c r="L623" s="40">
        <f t="shared" si="9"/>
        <v>0.92833218447026711</v>
      </c>
    </row>
    <row r="624" spans="11:12" x14ac:dyDescent="0.3">
      <c r="K624" s="28">
        <v>0.622</v>
      </c>
      <c r="L624" s="40">
        <f t="shared" si="9"/>
        <v>0.92861925855902405</v>
      </c>
    </row>
    <row r="625" spans="11:12" x14ac:dyDescent="0.3">
      <c r="K625" s="28">
        <v>0.623</v>
      </c>
      <c r="L625" s="40">
        <f t="shared" si="9"/>
        <v>0.92890527887743579</v>
      </c>
    </row>
    <row r="626" spans="11:12" x14ac:dyDescent="0.3">
      <c r="K626" s="28">
        <v>0.624</v>
      </c>
      <c r="L626" s="40">
        <f t="shared" si="9"/>
        <v>0.92919036717971304</v>
      </c>
    </row>
    <row r="627" spans="11:12" x14ac:dyDescent="0.3">
      <c r="K627" s="28">
        <v>0.625</v>
      </c>
      <c r="L627" s="40">
        <f t="shared" si="9"/>
        <v>0.92947446640836529</v>
      </c>
    </row>
    <row r="628" spans="11:12" x14ac:dyDescent="0.3">
      <c r="K628" s="28">
        <v>0.626</v>
      </c>
      <c r="L628" s="40">
        <f t="shared" si="9"/>
        <v>0.92975757910963419</v>
      </c>
    </row>
    <row r="629" spans="11:12" x14ac:dyDescent="0.3">
      <c r="K629" s="28">
        <v>0.627</v>
      </c>
      <c r="L629" s="40">
        <f t="shared" si="9"/>
        <v>0.93003967802707643</v>
      </c>
    </row>
    <row r="630" spans="11:12" x14ac:dyDescent="0.3">
      <c r="K630" s="28">
        <v>0.628</v>
      </c>
      <c r="L630" s="40">
        <f t="shared" si="9"/>
        <v>0.93032084021338934</v>
      </c>
    </row>
    <row r="631" spans="11:12" x14ac:dyDescent="0.3">
      <c r="K631" s="28">
        <v>0.629</v>
      </c>
      <c r="L631" s="40">
        <f t="shared" si="9"/>
        <v>0.93060100860967077</v>
      </c>
    </row>
    <row r="632" spans="11:12" x14ac:dyDescent="0.3">
      <c r="K632" s="28">
        <v>0.63</v>
      </c>
      <c r="L632" s="40">
        <f t="shared" si="9"/>
        <v>0.93088021691707346</v>
      </c>
    </row>
    <row r="633" spans="11:12" x14ac:dyDescent="0.3">
      <c r="K633" s="28">
        <v>0.63100000000000001</v>
      </c>
      <c r="L633" s="40">
        <f t="shared" si="9"/>
        <v>0.93115838774630888</v>
      </c>
    </row>
    <row r="634" spans="11:12" x14ac:dyDescent="0.3">
      <c r="K634" s="28">
        <v>0.63200000000000001</v>
      </c>
      <c r="L634" s="40">
        <f t="shared" si="9"/>
        <v>0.93143564684320135</v>
      </c>
    </row>
    <row r="635" spans="11:12" x14ac:dyDescent="0.3">
      <c r="K635" s="28">
        <v>0.63300000000000001</v>
      </c>
      <c r="L635" s="40">
        <f t="shared" si="9"/>
        <v>0.93171187745781336</v>
      </c>
    </row>
    <row r="636" spans="11:12" x14ac:dyDescent="0.3">
      <c r="K636" s="28">
        <v>0.63400000000000001</v>
      </c>
      <c r="L636" s="40">
        <f t="shared" si="9"/>
        <v>0.93198720125704559</v>
      </c>
    </row>
    <row r="637" spans="11:12" x14ac:dyDescent="0.3">
      <c r="K637" s="28">
        <v>0.63500000000000001</v>
      </c>
      <c r="L637" s="40">
        <f t="shared" si="9"/>
        <v>0.93226156109604064</v>
      </c>
    </row>
    <row r="638" spans="11:12" x14ac:dyDescent="0.3">
      <c r="K638" s="28">
        <v>0.63600000000000001</v>
      </c>
      <c r="L638" s="40">
        <f t="shared" si="9"/>
        <v>0.93253495943369591</v>
      </c>
    </row>
    <row r="639" spans="11:12" x14ac:dyDescent="0.3">
      <c r="K639" s="28">
        <v>0.63700000000000001</v>
      </c>
      <c r="L639" s="40">
        <f t="shared" si="9"/>
        <v>0.93280736892623395</v>
      </c>
    </row>
    <row r="640" spans="11:12" x14ac:dyDescent="0.3">
      <c r="K640" s="28">
        <v>0.63800000000000001</v>
      </c>
      <c r="L640" s="40">
        <f t="shared" si="9"/>
        <v>0.93307883673666892</v>
      </c>
    </row>
    <row r="641" spans="11:12" x14ac:dyDescent="0.3">
      <c r="K641" s="28">
        <v>0.63900000000000001</v>
      </c>
      <c r="L641" s="40">
        <f t="shared" si="9"/>
        <v>0.93334935042225153</v>
      </c>
    </row>
    <row r="642" spans="11:12" x14ac:dyDescent="0.3">
      <c r="K642" s="28">
        <v>0.64</v>
      </c>
      <c r="L642" s="40">
        <f t="shared" si="9"/>
        <v>0.93361893126102591</v>
      </c>
    </row>
    <row r="643" spans="11:12" x14ac:dyDescent="0.3">
      <c r="K643" s="28">
        <v>0.64100000000000001</v>
      </c>
      <c r="L643" s="40">
        <f t="shared" ref="L643:L706" si="10">cubic_Spline($A$2:$A$152,$B$2:$B$152,K643)</f>
        <v>0.93388754734486834</v>
      </c>
    </row>
    <row r="644" spans="11:12" x14ac:dyDescent="0.3">
      <c r="K644" s="28">
        <v>0.64200000000000002</v>
      </c>
      <c r="L644" s="40">
        <f t="shared" si="10"/>
        <v>0.93415521686050806</v>
      </c>
    </row>
    <row r="645" spans="11:12" x14ac:dyDescent="0.3">
      <c r="K645" s="28">
        <v>0.64300000000000002</v>
      </c>
      <c r="L645" s="40">
        <f t="shared" si="10"/>
        <v>0.93442188284210559</v>
      </c>
    </row>
    <row r="646" spans="11:12" x14ac:dyDescent="0.3">
      <c r="K646" s="28">
        <v>0.64400000000000002</v>
      </c>
      <c r="L646" s="40">
        <f t="shared" si="10"/>
        <v>0.93468766713605855</v>
      </c>
    </row>
    <row r="647" spans="11:12" x14ac:dyDescent="0.3">
      <c r="K647" s="28">
        <v>0.64500000000000002</v>
      </c>
      <c r="L647" s="40">
        <f t="shared" si="10"/>
        <v>0.93495251277695179</v>
      </c>
    </row>
    <row r="648" spans="11:12" x14ac:dyDescent="0.3">
      <c r="K648" s="28">
        <v>0.64600000000000002</v>
      </c>
      <c r="L648" s="40">
        <f t="shared" si="10"/>
        <v>0.93521642240314773</v>
      </c>
    </row>
    <row r="649" spans="11:12" x14ac:dyDescent="0.3">
      <c r="K649" s="28">
        <v>0.64700000000000002</v>
      </c>
      <c r="L649" s="40">
        <f t="shared" si="10"/>
        <v>0.93547939865266438</v>
      </c>
    </row>
    <row r="650" spans="11:12" x14ac:dyDescent="0.3">
      <c r="K650" s="28">
        <v>0.64800000000000002</v>
      </c>
      <c r="L650" s="40">
        <f t="shared" si="10"/>
        <v>0.93574144416448146</v>
      </c>
    </row>
    <row r="651" spans="11:12" x14ac:dyDescent="0.3">
      <c r="K651" s="28">
        <v>0.64900000000000002</v>
      </c>
      <c r="L651" s="40">
        <f t="shared" si="10"/>
        <v>0.93600254667532623</v>
      </c>
    </row>
    <row r="652" spans="11:12" x14ac:dyDescent="0.3">
      <c r="K652" s="28">
        <v>0.65</v>
      </c>
      <c r="L652" s="40">
        <f t="shared" si="10"/>
        <v>0.93626275981732698</v>
      </c>
    </row>
    <row r="653" spans="11:12" x14ac:dyDescent="0.3">
      <c r="K653" s="28">
        <v>0.65100000000000002</v>
      </c>
      <c r="L653" s="40">
        <f t="shared" si="10"/>
        <v>0.9365219837430736</v>
      </c>
    </row>
    <row r="654" spans="11:12" x14ac:dyDescent="0.3">
      <c r="K654" s="28">
        <v>0.65200000000000002</v>
      </c>
      <c r="L654" s="40">
        <f t="shared" si="10"/>
        <v>0.93678034708429136</v>
      </c>
    </row>
    <row r="655" spans="11:12" x14ac:dyDescent="0.3">
      <c r="K655" s="28">
        <v>0.65300000000000002</v>
      </c>
      <c r="L655" s="40">
        <f t="shared" si="10"/>
        <v>0.93703773326555739</v>
      </c>
    </row>
    <row r="656" spans="11:12" x14ac:dyDescent="0.3">
      <c r="K656" s="28">
        <v>0.65400000000000003</v>
      </c>
      <c r="L656" s="40">
        <f t="shared" si="10"/>
        <v>0.93729426412837813</v>
      </c>
    </row>
    <row r="657" spans="11:12" x14ac:dyDescent="0.3">
      <c r="K657" s="28">
        <v>0.65500000000000003</v>
      </c>
      <c r="L657" s="40">
        <f t="shared" si="10"/>
        <v>0.93754988270238815</v>
      </c>
    </row>
    <row r="658" spans="11:12" x14ac:dyDescent="0.3">
      <c r="K658" s="28">
        <v>0.65600000000000003</v>
      </c>
      <c r="L658" s="40">
        <f t="shared" si="10"/>
        <v>0.93780456181870098</v>
      </c>
    </row>
    <row r="659" spans="11:12" x14ac:dyDescent="0.3">
      <c r="K659" s="28">
        <v>0.65700000000000003</v>
      </c>
      <c r="L659" s="40">
        <f t="shared" si="10"/>
        <v>0.93805833391274074</v>
      </c>
    </row>
    <row r="660" spans="11:12" x14ac:dyDescent="0.3">
      <c r="K660" s="28">
        <v>0.65800000000000003</v>
      </c>
      <c r="L660" s="40">
        <f t="shared" si="10"/>
        <v>0.93831123142086592</v>
      </c>
    </row>
    <row r="661" spans="11:12" x14ac:dyDescent="0.3">
      <c r="K661" s="28">
        <v>0.65900000000000003</v>
      </c>
      <c r="L661" s="40">
        <f t="shared" si="10"/>
        <v>0.93856320482198796</v>
      </c>
    </row>
    <row r="662" spans="11:12" x14ac:dyDescent="0.3">
      <c r="K662" s="28">
        <v>0.66</v>
      </c>
      <c r="L662" s="40">
        <f t="shared" si="10"/>
        <v>0.93881425749396885</v>
      </c>
    </row>
    <row r="663" spans="11:12" x14ac:dyDescent="0.3">
      <c r="K663" s="28">
        <v>0.66100000000000003</v>
      </c>
      <c r="L663" s="40">
        <f t="shared" si="10"/>
        <v>0.93906446753017692</v>
      </c>
    </row>
    <row r="664" spans="11:12" x14ac:dyDescent="0.3">
      <c r="K664" s="28">
        <v>0.66200000000000003</v>
      </c>
      <c r="L664" s="40">
        <f t="shared" si="10"/>
        <v>0.93931378346667471</v>
      </c>
    </row>
    <row r="665" spans="11:12" x14ac:dyDescent="0.3">
      <c r="K665" s="28">
        <v>0.66300000000000003</v>
      </c>
      <c r="L665" s="40">
        <f t="shared" si="10"/>
        <v>0.93956208848280043</v>
      </c>
    </row>
    <row r="666" spans="11:12" x14ac:dyDescent="0.3">
      <c r="K666" s="28">
        <v>0.66400000000000003</v>
      </c>
      <c r="L666" s="40">
        <f t="shared" si="10"/>
        <v>0.93980962338415786</v>
      </c>
    </row>
    <row r="667" spans="11:12" x14ac:dyDescent="0.3">
      <c r="K667" s="28">
        <v>0.66500000000000004</v>
      </c>
      <c r="L667" s="40">
        <f t="shared" si="10"/>
        <v>0.94005627135048564</v>
      </c>
    </row>
    <row r="668" spans="11:12" x14ac:dyDescent="0.3">
      <c r="K668" s="28">
        <v>0.66600000000000004</v>
      </c>
      <c r="L668" s="40">
        <f t="shared" si="10"/>
        <v>0.9403020049676708</v>
      </c>
    </row>
    <row r="669" spans="11:12" x14ac:dyDescent="0.3">
      <c r="K669" s="28">
        <v>0.66700000000000004</v>
      </c>
      <c r="L669" s="40">
        <f t="shared" si="10"/>
        <v>0.94054682662359745</v>
      </c>
    </row>
    <row r="670" spans="11:12" x14ac:dyDescent="0.3">
      <c r="K670" s="28">
        <v>0.66800000000000004</v>
      </c>
      <c r="L670" s="40">
        <f t="shared" si="10"/>
        <v>0.94079082811402481</v>
      </c>
    </row>
    <row r="671" spans="11:12" x14ac:dyDescent="0.3">
      <c r="K671" s="28">
        <v>0.66900000000000004</v>
      </c>
      <c r="L671" s="40">
        <f t="shared" si="10"/>
        <v>0.94103391496916722</v>
      </c>
    </row>
    <row r="672" spans="11:12" x14ac:dyDescent="0.3">
      <c r="K672" s="28">
        <v>0.67</v>
      </c>
      <c r="L672" s="40">
        <f t="shared" si="10"/>
        <v>0.9412761078205174</v>
      </c>
    </row>
    <row r="673" spans="11:12" x14ac:dyDescent="0.3">
      <c r="K673" s="28">
        <v>0.67100000000000004</v>
      </c>
      <c r="L673" s="40">
        <f t="shared" si="10"/>
        <v>0.9415175024444804</v>
      </c>
    </row>
    <row r="674" spans="11:12" x14ac:dyDescent="0.3">
      <c r="K674" s="28">
        <v>0.67200000000000004</v>
      </c>
      <c r="L674" s="40">
        <f t="shared" si="10"/>
        <v>0.94175796724167948</v>
      </c>
    </row>
    <row r="675" spans="11:12" x14ac:dyDescent="0.3">
      <c r="K675" s="28">
        <v>0.67300000000000004</v>
      </c>
      <c r="L675" s="40">
        <f t="shared" si="10"/>
        <v>0.94199756420056069</v>
      </c>
    </row>
    <row r="676" spans="11:12" x14ac:dyDescent="0.3">
      <c r="K676" s="28">
        <v>0.67400000000000004</v>
      </c>
      <c r="L676" s="40">
        <f t="shared" si="10"/>
        <v>0.94223629570336487</v>
      </c>
    </row>
    <row r="677" spans="11:12" x14ac:dyDescent="0.3">
      <c r="K677" s="28">
        <v>0.67500000000000004</v>
      </c>
      <c r="L677" s="40">
        <f t="shared" si="10"/>
        <v>0.94247419393660614</v>
      </c>
    </row>
    <row r="678" spans="11:12" x14ac:dyDescent="0.3">
      <c r="K678" s="28">
        <v>0.67600000000000005</v>
      </c>
      <c r="L678" s="40">
        <f t="shared" si="10"/>
        <v>0.94271120167903333</v>
      </c>
    </row>
    <row r="679" spans="11:12" x14ac:dyDescent="0.3">
      <c r="K679" s="28">
        <v>0.67700000000000005</v>
      </c>
      <c r="L679" s="40">
        <f t="shared" si="10"/>
        <v>0.94294735111604666</v>
      </c>
    </row>
    <row r="680" spans="11:12" x14ac:dyDescent="0.3">
      <c r="K680" s="28">
        <v>0.67800000000000005</v>
      </c>
      <c r="L680" s="40">
        <f t="shared" si="10"/>
        <v>0.94318267443392978</v>
      </c>
    </row>
    <row r="681" spans="11:12" x14ac:dyDescent="0.3">
      <c r="K681" s="28">
        <v>0.67900000000000005</v>
      </c>
      <c r="L681" s="40">
        <f t="shared" si="10"/>
        <v>0.94341712186157745</v>
      </c>
    </row>
    <row r="682" spans="11:12" x14ac:dyDescent="0.3">
      <c r="K682" s="28">
        <v>0.68</v>
      </c>
      <c r="L682" s="40">
        <f t="shared" si="10"/>
        <v>0.94365070153472053</v>
      </c>
    </row>
    <row r="683" spans="11:12" x14ac:dyDescent="0.3">
      <c r="K683" s="28">
        <v>0.68100000000000005</v>
      </c>
      <c r="L683" s="40">
        <f t="shared" si="10"/>
        <v>0.94388349551593376</v>
      </c>
    </row>
    <row r="684" spans="11:12" x14ac:dyDescent="0.3">
      <c r="K684" s="28">
        <v>0.68200000000000005</v>
      </c>
      <c r="L684" s="40">
        <f t="shared" si="10"/>
        <v>0.94411538386204052</v>
      </c>
    </row>
    <row r="685" spans="11:12" x14ac:dyDescent="0.3">
      <c r="K685" s="28">
        <v>0.68300000000000005</v>
      </c>
      <c r="L685" s="40">
        <f t="shared" si="10"/>
        <v>0.94434642891889009</v>
      </c>
    </row>
    <row r="686" spans="11:12" x14ac:dyDescent="0.3">
      <c r="K686" s="28">
        <v>0.68400000000000005</v>
      </c>
      <c r="L686" s="40">
        <f t="shared" si="10"/>
        <v>0.94457663342616982</v>
      </c>
    </row>
    <row r="687" spans="11:12" x14ac:dyDescent="0.3">
      <c r="K687" s="28">
        <v>0.68500000000000005</v>
      </c>
      <c r="L687" s="40">
        <f t="shared" si="10"/>
        <v>0.94480605973010823</v>
      </c>
    </row>
    <row r="688" spans="11:12" x14ac:dyDescent="0.3">
      <c r="K688" s="28">
        <v>0.68600000000000005</v>
      </c>
      <c r="L688" s="40">
        <f t="shared" si="10"/>
        <v>0.94503462116454684</v>
      </c>
    </row>
    <row r="689" spans="11:12" x14ac:dyDescent="0.3">
      <c r="K689" s="28">
        <v>0.68700000000000006</v>
      </c>
      <c r="L689" s="40">
        <f t="shared" si="10"/>
        <v>0.94526232046998604</v>
      </c>
    </row>
    <row r="690" spans="11:12" x14ac:dyDescent="0.3">
      <c r="K690" s="28">
        <v>0.68800000000000006</v>
      </c>
      <c r="L690" s="40">
        <f t="shared" si="10"/>
        <v>0.94548920509127032</v>
      </c>
    </row>
    <row r="691" spans="11:12" x14ac:dyDescent="0.3">
      <c r="K691" s="28">
        <v>0.68900000000000006</v>
      </c>
      <c r="L691" s="40">
        <f t="shared" si="10"/>
        <v>0.94571526286762309</v>
      </c>
    </row>
    <row r="692" spans="11:12" x14ac:dyDescent="0.3">
      <c r="K692" s="28">
        <v>0.69000000000000006</v>
      </c>
      <c r="L692" s="40">
        <f t="shared" si="10"/>
        <v>0.94594048218480797</v>
      </c>
    </row>
    <row r="693" spans="11:12" x14ac:dyDescent="0.3">
      <c r="K693" s="28">
        <v>0.69100000000000006</v>
      </c>
      <c r="L693" s="40">
        <f t="shared" si="10"/>
        <v>0.94616491545481096</v>
      </c>
    </row>
    <row r="694" spans="11:12" x14ac:dyDescent="0.3">
      <c r="K694" s="28">
        <v>0.69200000000000006</v>
      </c>
      <c r="L694" s="40">
        <f t="shared" si="10"/>
        <v>0.94638852939323992</v>
      </c>
    </row>
    <row r="695" spans="11:12" x14ac:dyDescent="0.3">
      <c r="K695" s="28">
        <v>0.69300000000000006</v>
      </c>
      <c r="L695" s="40">
        <f t="shared" si="10"/>
        <v>0.94661126642715021</v>
      </c>
    </row>
    <row r="696" spans="11:12" x14ac:dyDescent="0.3">
      <c r="K696" s="28">
        <v>0.69400000000000006</v>
      </c>
      <c r="L696" s="40">
        <f t="shared" si="10"/>
        <v>0.94683324779606315</v>
      </c>
    </row>
    <row r="697" spans="11:12" x14ac:dyDescent="0.3">
      <c r="K697" s="28">
        <v>0.69500000000000006</v>
      </c>
      <c r="L697" s="40">
        <f t="shared" si="10"/>
        <v>0.94705438612507853</v>
      </c>
    </row>
    <row r="698" spans="11:12" x14ac:dyDescent="0.3">
      <c r="K698" s="28">
        <v>0.69600000000000006</v>
      </c>
      <c r="L698" s="40">
        <f t="shared" si="10"/>
        <v>0.94727474305015835</v>
      </c>
    </row>
    <row r="699" spans="11:12" x14ac:dyDescent="0.3">
      <c r="K699" s="28">
        <v>0.69700000000000006</v>
      </c>
      <c r="L699" s="40">
        <f t="shared" si="10"/>
        <v>0.94749426099767664</v>
      </c>
    </row>
    <row r="700" spans="11:12" x14ac:dyDescent="0.3">
      <c r="K700" s="28">
        <v>0.69800000000000006</v>
      </c>
      <c r="L700" s="40">
        <f t="shared" si="10"/>
        <v>0.94771298670296789</v>
      </c>
    </row>
    <row r="701" spans="11:12" x14ac:dyDescent="0.3">
      <c r="K701" s="28">
        <v>0.69900000000000007</v>
      </c>
      <c r="L701" s="40">
        <f t="shared" si="10"/>
        <v>0.94793090729577789</v>
      </c>
    </row>
    <row r="702" spans="11:12" x14ac:dyDescent="0.3">
      <c r="K702" s="28">
        <v>0.70000000000000007</v>
      </c>
      <c r="L702" s="40">
        <f t="shared" si="10"/>
        <v>0.94814801253801628</v>
      </c>
    </row>
    <row r="703" spans="11:12" x14ac:dyDescent="0.3">
      <c r="K703" s="28">
        <v>0.70100000000000007</v>
      </c>
      <c r="L703" s="40">
        <f t="shared" si="10"/>
        <v>0.94836432038528717</v>
      </c>
    </row>
    <row r="704" spans="11:12" x14ac:dyDescent="0.3">
      <c r="K704" s="28">
        <v>0.70200000000000007</v>
      </c>
      <c r="L704" s="40">
        <f t="shared" si="10"/>
        <v>0.94857988951136707</v>
      </c>
    </row>
    <row r="705" spans="11:12" x14ac:dyDescent="0.3">
      <c r="K705" s="28">
        <v>0.70300000000000007</v>
      </c>
      <c r="L705" s="40">
        <f t="shared" si="10"/>
        <v>0.94879454382628559</v>
      </c>
    </row>
    <row r="706" spans="11:12" x14ac:dyDescent="0.3">
      <c r="K706" s="28">
        <v>0.70399999999999996</v>
      </c>
      <c r="L706" s="40">
        <f t="shared" si="10"/>
        <v>0.9490084648664987</v>
      </c>
    </row>
    <row r="707" spans="11:12" x14ac:dyDescent="0.3">
      <c r="K707" s="28">
        <v>0.70499999999999996</v>
      </c>
      <c r="L707" s="40">
        <f t="shared" ref="L707:L770" si="11">cubic_Spline($A$2:$A$152,$B$2:$B$152,K707)</f>
        <v>0.94922162555402756</v>
      </c>
    </row>
    <row r="708" spans="11:12" x14ac:dyDescent="0.3">
      <c r="K708" s="28">
        <v>0.70599999999999996</v>
      </c>
      <c r="L708" s="40">
        <f t="shared" si="11"/>
        <v>0.94943396900780697</v>
      </c>
    </row>
    <row r="709" spans="11:12" x14ac:dyDescent="0.3">
      <c r="K709" s="28">
        <v>0.70699999999999996</v>
      </c>
      <c r="L709" s="40">
        <f t="shared" si="11"/>
        <v>0.94964552775345934</v>
      </c>
    </row>
    <row r="710" spans="11:12" x14ac:dyDescent="0.3">
      <c r="K710" s="28">
        <v>0.70799999999999996</v>
      </c>
      <c r="L710" s="40">
        <f t="shared" si="11"/>
        <v>0.94985631941625726</v>
      </c>
    </row>
    <row r="711" spans="11:12" x14ac:dyDescent="0.3">
      <c r="K711" s="28">
        <v>0.70899999999999996</v>
      </c>
      <c r="L711" s="40">
        <f t="shared" si="11"/>
        <v>0.9500663243676496</v>
      </c>
    </row>
    <row r="712" spans="11:12" x14ac:dyDescent="0.3">
      <c r="K712" s="28">
        <v>0.71</v>
      </c>
      <c r="L712" s="40">
        <f t="shared" si="11"/>
        <v>0.95027555733501901</v>
      </c>
    </row>
    <row r="713" spans="11:12" x14ac:dyDescent="0.3">
      <c r="K713" s="28">
        <v>0.71099999999999997</v>
      </c>
      <c r="L713" s="40">
        <f t="shared" si="11"/>
        <v>0.95048399844844356</v>
      </c>
    </row>
    <row r="714" spans="11:12" x14ac:dyDescent="0.3">
      <c r="K714" s="28">
        <v>0.71199999999999997</v>
      </c>
      <c r="L714" s="40">
        <f t="shared" si="11"/>
        <v>0.95069172737588847</v>
      </c>
    </row>
    <row r="715" spans="11:12" x14ac:dyDescent="0.3">
      <c r="K715" s="28">
        <v>0.71299999999999997</v>
      </c>
      <c r="L715" s="40">
        <f t="shared" si="11"/>
        <v>0.95089856732641487</v>
      </c>
    </row>
    <row r="716" spans="11:12" x14ac:dyDescent="0.3">
      <c r="K716" s="28">
        <v>0.71399999999999997</v>
      </c>
      <c r="L716" s="40">
        <f t="shared" si="11"/>
        <v>0.95110469913556828</v>
      </c>
    </row>
    <row r="717" spans="11:12" x14ac:dyDescent="0.3">
      <c r="K717" s="28">
        <v>0.71499999999999997</v>
      </c>
      <c r="L717" s="40">
        <f t="shared" si="11"/>
        <v>0.9513100950243677</v>
      </c>
    </row>
    <row r="718" spans="11:12" x14ac:dyDescent="0.3">
      <c r="K718" s="28">
        <v>0.71599999999999997</v>
      </c>
      <c r="L718" s="40">
        <f t="shared" si="11"/>
        <v>0.95151472721312458</v>
      </c>
    </row>
    <row r="719" spans="11:12" x14ac:dyDescent="0.3">
      <c r="K719" s="28">
        <v>0.71699999999999997</v>
      </c>
      <c r="L719" s="40">
        <f t="shared" si="11"/>
        <v>0.95171856792186982</v>
      </c>
    </row>
    <row r="720" spans="11:12" x14ac:dyDescent="0.3">
      <c r="K720" s="28">
        <v>0.71799999999999997</v>
      </c>
      <c r="L720" s="40">
        <f t="shared" si="11"/>
        <v>0.95192166387722443</v>
      </c>
    </row>
    <row r="721" spans="11:12" x14ac:dyDescent="0.3">
      <c r="K721" s="28">
        <v>0.71899999999999997</v>
      </c>
      <c r="L721" s="40">
        <f t="shared" si="11"/>
        <v>0.95212400220027482</v>
      </c>
    </row>
    <row r="722" spans="11:12" x14ac:dyDescent="0.3">
      <c r="K722" s="28">
        <v>0.72</v>
      </c>
      <c r="L722" s="40">
        <f t="shared" si="11"/>
        <v>0.95232559393356242</v>
      </c>
    </row>
    <row r="723" spans="11:12" x14ac:dyDescent="0.3">
      <c r="K723" s="28">
        <v>0.72099999999999997</v>
      </c>
      <c r="L723" s="40">
        <f t="shared" si="11"/>
        <v>0.95252640264572752</v>
      </c>
    </row>
    <row r="724" spans="11:12" x14ac:dyDescent="0.3">
      <c r="K724" s="28">
        <v>0.72199999999999998</v>
      </c>
      <c r="L724" s="40">
        <f t="shared" si="11"/>
        <v>0.95272651994042945</v>
      </c>
    </row>
    <row r="725" spans="11:12" x14ac:dyDescent="0.3">
      <c r="K725" s="28">
        <v>0.72299999999999998</v>
      </c>
      <c r="L725" s="40">
        <f t="shared" si="11"/>
        <v>0.95292576956864006</v>
      </c>
    </row>
    <row r="726" spans="11:12" x14ac:dyDescent="0.3">
      <c r="K726" s="28">
        <v>0.72399999999999998</v>
      </c>
      <c r="L726" s="40">
        <f t="shared" si="11"/>
        <v>0.95312439251249803</v>
      </c>
    </row>
    <row r="727" spans="11:12" x14ac:dyDescent="0.3">
      <c r="K727" s="28">
        <v>0.72499999999999998</v>
      </c>
      <c r="L727" s="40">
        <f t="shared" si="11"/>
        <v>0.9533222125233124</v>
      </c>
    </row>
    <row r="728" spans="11:12" x14ac:dyDescent="0.3">
      <c r="K728" s="28">
        <v>0.72599999999999998</v>
      </c>
      <c r="L728" s="40">
        <f t="shared" si="11"/>
        <v>0.95351932157260477</v>
      </c>
    </row>
    <row r="729" spans="11:12" x14ac:dyDescent="0.3">
      <c r="K729" s="28">
        <v>0.72699999999999998</v>
      </c>
      <c r="L729" s="40">
        <f t="shared" si="11"/>
        <v>0.95371566262001217</v>
      </c>
    </row>
    <row r="730" spans="11:12" x14ac:dyDescent="0.3">
      <c r="K730" s="28">
        <v>0.72799999999999998</v>
      </c>
      <c r="L730" s="40">
        <f t="shared" si="11"/>
        <v>0.95391129783522444</v>
      </c>
    </row>
    <row r="731" spans="11:12" x14ac:dyDescent="0.3">
      <c r="K731" s="28">
        <v>0.72899999999999998</v>
      </c>
      <c r="L731" s="40">
        <f t="shared" si="11"/>
        <v>0.95410618507893652</v>
      </c>
    </row>
    <row r="732" spans="11:12" x14ac:dyDescent="0.3">
      <c r="K732" s="28">
        <v>0.73</v>
      </c>
      <c r="L732" s="40">
        <f t="shared" si="11"/>
        <v>0.95430036785279471</v>
      </c>
    </row>
    <row r="733" spans="11:12" x14ac:dyDescent="0.3">
      <c r="K733" s="28">
        <v>0.73099999999999998</v>
      </c>
      <c r="L733" s="40">
        <f t="shared" si="11"/>
        <v>0.9544937877955042</v>
      </c>
    </row>
    <row r="734" spans="11:12" x14ac:dyDescent="0.3">
      <c r="K734" s="28">
        <v>0.73199999999999998</v>
      </c>
      <c r="L734" s="40">
        <f t="shared" si="11"/>
        <v>0.95468648174675486</v>
      </c>
    </row>
    <row r="735" spans="11:12" x14ac:dyDescent="0.3">
      <c r="K735" s="28">
        <v>0.73299999999999998</v>
      </c>
      <c r="L735" s="40">
        <f t="shared" si="11"/>
        <v>0.95487845165626817</v>
      </c>
    </row>
    <row r="736" spans="11:12" x14ac:dyDescent="0.3">
      <c r="K736" s="28">
        <v>0.73399999999999999</v>
      </c>
      <c r="L736" s="40">
        <f t="shared" si="11"/>
        <v>0.95506969947246378</v>
      </c>
    </row>
    <row r="737" spans="11:12" x14ac:dyDescent="0.3">
      <c r="K737" s="28">
        <v>0.73499999999999999</v>
      </c>
      <c r="L737" s="40">
        <f t="shared" si="11"/>
        <v>0.95526025694771088</v>
      </c>
    </row>
    <row r="738" spans="11:12" x14ac:dyDescent="0.3">
      <c r="K738" s="28">
        <v>0.73599999999999999</v>
      </c>
      <c r="L738" s="40">
        <f t="shared" si="11"/>
        <v>0.95545009622906873</v>
      </c>
    </row>
    <row r="739" spans="11:12" x14ac:dyDescent="0.3">
      <c r="K739" s="28">
        <v>0.73699999999999999</v>
      </c>
      <c r="L739" s="40">
        <f t="shared" si="11"/>
        <v>0.95563915966100998</v>
      </c>
    </row>
    <row r="740" spans="11:12" x14ac:dyDescent="0.3">
      <c r="K740" s="28">
        <v>0.73799999999999999</v>
      </c>
      <c r="L740" s="40">
        <f t="shared" si="11"/>
        <v>0.95582756840267924</v>
      </c>
    </row>
    <row r="741" spans="11:12" x14ac:dyDescent="0.3">
      <c r="K741" s="28">
        <v>0.73899999999999999</v>
      </c>
      <c r="L741" s="40">
        <f t="shared" si="11"/>
        <v>0.95601524244670821</v>
      </c>
    </row>
    <row r="742" spans="11:12" x14ac:dyDescent="0.3">
      <c r="K742" s="28">
        <v>0.74</v>
      </c>
      <c r="L742" s="40">
        <f t="shared" si="11"/>
        <v>0.95620218937946189</v>
      </c>
    </row>
    <row r="743" spans="11:12" x14ac:dyDescent="0.3">
      <c r="K743" s="28">
        <v>0.74099999999999999</v>
      </c>
      <c r="L743" s="40">
        <f t="shared" si="11"/>
        <v>0.95638848508840157</v>
      </c>
    </row>
    <row r="744" spans="11:12" x14ac:dyDescent="0.3">
      <c r="K744" s="28">
        <v>0.74199999999999999</v>
      </c>
      <c r="L744" s="40">
        <f t="shared" si="11"/>
        <v>0.9565740152583655</v>
      </c>
    </row>
    <row r="745" spans="11:12" x14ac:dyDescent="0.3">
      <c r="K745" s="28">
        <v>0.74299999999999999</v>
      </c>
      <c r="L745" s="40">
        <f t="shared" si="11"/>
        <v>0.95675884200677319</v>
      </c>
    </row>
    <row r="746" spans="11:12" x14ac:dyDescent="0.3">
      <c r="K746" s="28">
        <v>0.74399999999999999</v>
      </c>
      <c r="L746" s="40">
        <f t="shared" si="11"/>
        <v>0.95694302744977744</v>
      </c>
    </row>
    <row r="747" spans="11:12" x14ac:dyDescent="0.3">
      <c r="K747" s="28">
        <v>0.745</v>
      </c>
      <c r="L747" s="40">
        <f t="shared" si="11"/>
        <v>0.95712645489117987</v>
      </c>
    </row>
    <row r="748" spans="11:12" x14ac:dyDescent="0.3">
      <c r="K748" s="28">
        <v>0.746</v>
      </c>
      <c r="L748" s="40">
        <f t="shared" si="11"/>
        <v>0.95730921625039178</v>
      </c>
    </row>
    <row r="749" spans="11:12" x14ac:dyDescent="0.3">
      <c r="K749" s="28">
        <v>0.747</v>
      </c>
      <c r="L749" s="40">
        <f t="shared" si="11"/>
        <v>0.95749128423727803</v>
      </c>
    </row>
    <row r="750" spans="11:12" x14ac:dyDescent="0.3">
      <c r="K750" s="28">
        <v>0.748</v>
      </c>
      <c r="L750" s="40">
        <f t="shared" si="11"/>
        <v>0.95767264646358208</v>
      </c>
    </row>
    <row r="751" spans="11:12" x14ac:dyDescent="0.3">
      <c r="K751" s="28">
        <v>0.749</v>
      </c>
      <c r="L751" s="40">
        <f t="shared" si="11"/>
        <v>0.95785332779313626</v>
      </c>
    </row>
    <row r="752" spans="11:12" x14ac:dyDescent="0.3">
      <c r="K752" s="28">
        <v>0.75</v>
      </c>
      <c r="L752" s="40">
        <f t="shared" si="11"/>
        <v>0.95803332328796387</v>
      </c>
    </row>
    <row r="753" spans="11:12" x14ac:dyDescent="0.3">
      <c r="K753" s="28">
        <v>0.751</v>
      </c>
      <c r="L753" s="40">
        <f t="shared" si="11"/>
        <v>0.95821261914916556</v>
      </c>
    </row>
    <row r="754" spans="11:12" x14ac:dyDescent="0.3">
      <c r="K754" s="28">
        <v>0.752</v>
      </c>
      <c r="L754" s="40">
        <f t="shared" si="11"/>
        <v>0.95839129324117456</v>
      </c>
    </row>
    <row r="755" spans="11:12" x14ac:dyDescent="0.3">
      <c r="K755" s="28">
        <v>0.753</v>
      </c>
      <c r="L755" s="40">
        <f t="shared" si="11"/>
        <v>0.95856916869862652</v>
      </c>
    </row>
    <row r="756" spans="11:12" x14ac:dyDescent="0.3">
      <c r="K756" s="28">
        <v>0.754</v>
      </c>
      <c r="L756" s="40">
        <f t="shared" si="11"/>
        <v>0.95874648588744804</v>
      </c>
    </row>
    <row r="757" spans="11:12" x14ac:dyDescent="0.3">
      <c r="K757" s="28">
        <v>0.755</v>
      </c>
      <c r="L757" s="40">
        <f t="shared" si="11"/>
        <v>0.95892309774490236</v>
      </c>
    </row>
    <row r="758" spans="11:12" x14ac:dyDescent="0.3">
      <c r="K758" s="28">
        <v>0.75600000000000001</v>
      </c>
      <c r="L758" s="40">
        <f t="shared" si="11"/>
        <v>0.95909903602156255</v>
      </c>
    </row>
    <row r="759" spans="11:12" x14ac:dyDescent="0.3">
      <c r="K759" s="28">
        <v>0.75700000000000001</v>
      </c>
      <c r="L759" s="40">
        <f t="shared" si="11"/>
        <v>0.95927427286310896</v>
      </c>
    </row>
    <row r="760" spans="11:12" x14ac:dyDescent="0.3">
      <c r="K760" s="28">
        <v>0.75800000000000001</v>
      </c>
      <c r="L760" s="40">
        <f t="shared" si="11"/>
        <v>0.95944885492172038</v>
      </c>
    </row>
    <row r="761" spans="11:12" x14ac:dyDescent="0.3">
      <c r="K761" s="28">
        <v>0.75900000000000001</v>
      </c>
      <c r="L761" s="40">
        <f t="shared" si="11"/>
        <v>0.95962276924414536</v>
      </c>
    </row>
    <row r="762" spans="11:12" x14ac:dyDescent="0.3">
      <c r="K762" s="28">
        <v>0.76</v>
      </c>
      <c r="L762" s="40">
        <f t="shared" si="11"/>
        <v>0.95979603436098171</v>
      </c>
    </row>
    <row r="763" spans="11:12" x14ac:dyDescent="0.3">
      <c r="K763" s="28">
        <v>0.76100000000000001</v>
      </c>
      <c r="L763" s="40">
        <f t="shared" si="11"/>
        <v>0.95996862224792801</v>
      </c>
    </row>
    <row r="764" spans="11:12" x14ac:dyDescent="0.3">
      <c r="K764" s="28">
        <v>0.76200000000000001</v>
      </c>
      <c r="L764" s="40">
        <f t="shared" si="11"/>
        <v>0.96014054850693464</v>
      </c>
    </row>
    <row r="765" spans="11:12" x14ac:dyDescent="0.3">
      <c r="K765" s="28">
        <v>0.76300000000000001</v>
      </c>
      <c r="L765" s="40">
        <f t="shared" si="11"/>
        <v>0.96031175574506711</v>
      </c>
    </row>
    <row r="766" spans="11:12" x14ac:dyDescent="0.3">
      <c r="K766" s="28">
        <v>0.76400000000000001</v>
      </c>
      <c r="L766" s="40">
        <f t="shared" si="11"/>
        <v>0.96048236538213771</v>
      </c>
    </row>
    <row r="767" spans="11:12" x14ac:dyDescent="0.3">
      <c r="K767" s="28">
        <v>0.76500000000000001</v>
      </c>
      <c r="L767" s="40">
        <f t="shared" si="11"/>
        <v>0.96065234982783099</v>
      </c>
    </row>
    <row r="768" spans="11:12" x14ac:dyDescent="0.3">
      <c r="K768" s="28">
        <v>0.76600000000000001</v>
      </c>
      <c r="L768" s="40">
        <f t="shared" si="11"/>
        <v>0.96082165168890232</v>
      </c>
    </row>
    <row r="769" spans="11:12" x14ac:dyDescent="0.3">
      <c r="K769" s="28">
        <v>0.76700000000000002</v>
      </c>
      <c r="L769" s="40">
        <f t="shared" si="11"/>
        <v>0.96099030297883348</v>
      </c>
    </row>
    <row r="770" spans="11:12" x14ac:dyDescent="0.3">
      <c r="K770" s="28">
        <v>0.76800000000000002</v>
      </c>
      <c r="L770" s="40">
        <f t="shared" si="11"/>
        <v>0.96115830590945639</v>
      </c>
    </row>
    <row r="771" spans="11:12" x14ac:dyDescent="0.3">
      <c r="K771" s="28">
        <v>0.76900000000000002</v>
      </c>
      <c r="L771" s="40">
        <f t="shared" ref="L771:L834" si="12">cubic_Spline($A$2:$A$152,$B$2:$B$152,K771)</f>
        <v>0.96132565524125924</v>
      </c>
    </row>
    <row r="772" spans="11:12" x14ac:dyDescent="0.3">
      <c r="K772" s="28">
        <v>0.77</v>
      </c>
      <c r="L772" s="40">
        <f t="shared" si="12"/>
        <v>0.96149234897074198</v>
      </c>
    </row>
    <row r="773" spans="11:12" x14ac:dyDescent="0.3">
      <c r="K773" s="28">
        <v>0.77100000000000002</v>
      </c>
      <c r="L773" s="40">
        <f t="shared" si="12"/>
        <v>0.9616584202304902</v>
      </c>
    </row>
    <row r="774" spans="11:12" x14ac:dyDescent="0.3">
      <c r="K774" s="28">
        <v>0.77200000000000002</v>
      </c>
      <c r="L774" s="40">
        <f t="shared" si="12"/>
        <v>0.961823911450438</v>
      </c>
    </row>
    <row r="775" spans="11:12" x14ac:dyDescent="0.3">
      <c r="K775" s="28">
        <v>0.77300000000000002</v>
      </c>
      <c r="L775" s="40">
        <f t="shared" si="12"/>
        <v>0.96198864589761479</v>
      </c>
    </row>
    <row r="776" spans="11:12" x14ac:dyDescent="0.3">
      <c r="K776" s="28">
        <v>0.77400000000000002</v>
      </c>
      <c r="L776" s="40">
        <f t="shared" si="12"/>
        <v>0.96215280446577078</v>
      </c>
    </row>
    <row r="777" spans="11:12" x14ac:dyDescent="0.3">
      <c r="K777" s="28">
        <v>0.77500000000000002</v>
      </c>
      <c r="L777" s="40">
        <f t="shared" si="12"/>
        <v>0.9623163296315117</v>
      </c>
    </row>
    <row r="778" spans="11:12" x14ac:dyDescent="0.3">
      <c r="K778" s="28">
        <v>0.77600000000000002</v>
      </c>
      <c r="L778" s="40">
        <f t="shared" si="12"/>
        <v>0.96247922347550141</v>
      </c>
    </row>
    <row r="779" spans="11:12" x14ac:dyDescent="0.3">
      <c r="K779" s="28">
        <v>0.77700000000000002</v>
      </c>
      <c r="L779" s="40">
        <f t="shared" si="12"/>
        <v>0.9626414880781714</v>
      </c>
    </row>
    <row r="780" spans="11:12" x14ac:dyDescent="0.3">
      <c r="K780" s="28">
        <v>0.77800000000000002</v>
      </c>
      <c r="L780" s="40">
        <f t="shared" si="12"/>
        <v>0.96280312552060288</v>
      </c>
    </row>
    <row r="781" spans="11:12" x14ac:dyDescent="0.3">
      <c r="K781" s="28">
        <v>0.77900000000000003</v>
      </c>
      <c r="L781" s="40">
        <f t="shared" si="12"/>
        <v>0.96296413043255902</v>
      </c>
    </row>
    <row r="782" spans="11:12" x14ac:dyDescent="0.3">
      <c r="K782" s="28">
        <v>0.78</v>
      </c>
      <c r="L782" s="40">
        <f t="shared" si="12"/>
        <v>0.96312453189980107</v>
      </c>
    </row>
    <row r="783" spans="11:12" x14ac:dyDescent="0.3">
      <c r="K783" s="28">
        <v>0.78100000000000003</v>
      </c>
      <c r="L783" s="40">
        <f t="shared" si="12"/>
        <v>0.96328428073314398</v>
      </c>
    </row>
    <row r="784" spans="11:12" x14ac:dyDescent="0.3">
      <c r="K784" s="28">
        <v>0.78200000000000003</v>
      </c>
      <c r="L784" s="40">
        <f t="shared" si="12"/>
        <v>0.96344347018062559</v>
      </c>
    </row>
    <row r="785" spans="11:12" x14ac:dyDescent="0.3">
      <c r="K785" s="28">
        <v>0.78300000000000003</v>
      </c>
      <c r="L785" s="40">
        <f t="shared" si="12"/>
        <v>0.96360192335634454</v>
      </c>
    </row>
    <row r="786" spans="11:12" x14ac:dyDescent="0.3">
      <c r="K786" s="28">
        <v>0.78400000000000003</v>
      </c>
      <c r="L786" s="40">
        <f t="shared" si="12"/>
        <v>0.96375988060580287</v>
      </c>
    </row>
    <row r="787" spans="11:12" x14ac:dyDescent="0.3">
      <c r="K787" s="28">
        <v>0.78500000000000003</v>
      </c>
      <c r="L787" s="40">
        <f t="shared" si="12"/>
        <v>0.96391716504337699</v>
      </c>
    </row>
    <row r="788" spans="11:12" x14ac:dyDescent="0.3">
      <c r="K788" s="28">
        <v>0.78600000000000003</v>
      </c>
      <c r="L788" s="40">
        <f t="shared" si="12"/>
        <v>0.96407386800377748</v>
      </c>
    </row>
    <row r="789" spans="11:12" x14ac:dyDescent="0.3">
      <c r="K789" s="28">
        <v>0.78700000000000003</v>
      </c>
      <c r="L789" s="40">
        <f t="shared" si="12"/>
        <v>0.96422993180987771</v>
      </c>
    </row>
    <row r="790" spans="11:12" x14ac:dyDescent="0.3">
      <c r="K790" s="28">
        <v>0.78800000000000003</v>
      </c>
      <c r="L790" s="40">
        <f t="shared" si="12"/>
        <v>0.96438543289563083</v>
      </c>
    </row>
    <row r="791" spans="11:12" x14ac:dyDescent="0.3">
      <c r="K791" s="28">
        <v>0.78900000000000003</v>
      </c>
      <c r="L791" s="40">
        <f t="shared" si="12"/>
        <v>0.96454029123208362</v>
      </c>
    </row>
    <row r="792" spans="11:12" x14ac:dyDescent="0.3">
      <c r="K792" s="28">
        <v>0.79</v>
      </c>
      <c r="L792" s="40">
        <f t="shared" si="12"/>
        <v>0.96469457242107071</v>
      </c>
    </row>
    <row r="793" spans="11:12" x14ac:dyDescent="0.3">
      <c r="K793" s="28">
        <v>0.79100000000000004</v>
      </c>
      <c r="L793" s="40">
        <f t="shared" si="12"/>
        <v>0.96484820225824086</v>
      </c>
    </row>
    <row r="794" spans="11:12" x14ac:dyDescent="0.3">
      <c r="K794" s="28">
        <v>0.79200000000000004</v>
      </c>
      <c r="L794" s="40">
        <f t="shared" si="12"/>
        <v>0.96500129218166231</v>
      </c>
    </row>
    <row r="795" spans="11:12" x14ac:dyDescent="0.3">
      <c r="K795" s="28">
        <v>0.79300000000000004</v>
      </c>
      <c r="L795" s="40">
        <f t="shared" si="12"/>
        <v>0.96515372510453623</v>
      </c>
    </row>
    <row r="796" spans="11:12" x14ac:dyDescent="0.3">
      <c r="K796" s="28">
        <v>0.79400000000000004</v>
      </c>
      <c r="L796" s="40">
        <f t="shared" si="12"/>
        <v>0.96530562235756701</v>
      </c>
    </row>
    <row r="797" spans="11:12" x14ac:dyDescent="0.3">
      <c r="K797" s="28">
        <v>0.79500000000000004</v>
      </c>
      <c r="L797" s="40">
        <f t="shared" si="12"/>
        <v>0.96545689665654744</v>
      </c>
    </row>
    <row r="798" spans="11:12" x14ac:dyDescent="0.3">
      <c r="K798" s="28">
        <v>0.79600000000000004</v>
      </c>
      <c r="L798" s="40">
        <f t="shared" si="12"/>
        <v>0.96560760972833171</v>
      </c>
    </row>
    <row r="799" spans="11:12" x14ac:dyDescent="0.3">
      <c r="K799" s="28">
        <v>0.79700000000000004</v>
      </c>
      <c r="L799" s="40">
        <f t="shared" si="12"/>
        <v>0.96575767428794479</v>
      </c>
    </row>
    <row r="800" spans="11:12" x14ac:dyDescent="0.3">
      <c r="K800" s="28">
        <v>0.79800000000000004</v>
      </c>
      <c r="L800" s="40">
        <f t="shared" si="12"/>
        <v>0.96590719676611603</v>
      </c>
    </row>
    <row r="801" spans="11:12" x14ac:dyDescent="0.3">
      <c r="K801" s="28">
        <v>0.79900000000000004</v>
      </c>
      <c r="L801" s="40">
        <f t="shared" si="12"/>
        <v>0.96605611968011029</v>
      </c>
    </row>
    <row r="802" spans="11:12" x14ac:dyDescent="0.3">
      <c r="K802" s="28">
        <v>0.8</v>
      </c>
      <c r="L802" s="40">
        <f t="shared" si="12"/>
        <v>0.96620444335232503</v>
      </c>
    </row>
    <row r="803" spans="11:12" x14ac:dyDescent="0.3">
      <c r="K803" s="28">
        <v>0.80100000000000005</v>
      </c>
      <c r="L803" s="40">
        <f t="shared" si="12"/>
        <v>0.96635224510167084</v>
      </c>
    </row>
    <row r="804" spans="11:12" x14ac:dyDescent="0.3">
      <c r="K804" s="28">
        <v>0.80200000000000005</v>
      </c>
      <c r="L804" s="40">
        <f t="shared" si="12"/>
        <v>0.96649940851349181</v>
      </c>
    </row>
    <row r="805" spans="11:12" x14ac:dyDescent="0.3">
      <c r="K805" s="28">
        <v>0.80300000000000005</v>
      </c>
      <c r="L805" s="40">
        <f t="shared" si="12"/>
        <v>0.9666459948781132</v>
      </c>
    </row>
    <row r="806" spans="11:12" x14ac:dyDescent="0.3">
      <c r="K806" s="28">
        <v>0.80400000000000005</v>
      </c>
      <c r="L806" s="40">
        <f t="shared" si="12"/>
        <v>0.96679206548482211</v>
      </c>
    </row>
    <row r="807" spans="11:12" x14ac:dyDescent="0.3">
      <c r="K807" s="28">
        <v>0.80500000000000005</v>
      </c>
      <c r="L807" s="40">
        <f t="shared" si="12"/>
        <v>0.96693750281026936</v>
      </c>
    </row>
    <row r="808" spans="11:12" x14ac:dyDescent="0.3">
      <c r="K808" s="28">
        <v>0.80600000000000005</v>
      </c>
      <c r="L808" s="40">
        <f t="shared" si="12"/>
        <v>0.96708239794683104</v>
      </c>
    </row>
    <row r="809" spans="11:12" x14ac:dyDescent="0.3">
      <c r="K809" s="28">
        <v>0.80700000000000005</v>
      </c>
      <c r="L809" s="40">
        <f t="shared" si="12"/>
        <v>0.96722669297506181</v>
      </c>
    </row>
    <row r="810" spans="11:12" x14ac:dyDescent="0.3">
      <c r="K810" s="28">
        <v>0.80800000000000005</v>
      </c>
      <c r="L810" s="40">
        <f t="shared" si="12"/>
        <v>0.96737046408655447</v>
      </c>
    </row>
    <row r="811" spans="11:12" x14ac:dyDescent="0.3">
      <c r="K811" s="28">
        <v>0.80900000000000005</v>
      </c>
      <c r="L811" s="40">
        <f t="shared" si="12"/>
        <v>0.9675136384606231</v>
      </c>
    </row>
    <row r="812" spans="11:12" x14ac:dyDescent="0.3">
      <c r="K812" s="28">
        <v>0.81</v>
      </c>
      <c r="L812" s="40">
        <f t="shared" si="12"/>
        <v>0.96765626214015754</v>
      </c>
    </row>
    <row r="813" spans="11:12" x14ac:dyDescent="0.3">
      <c r="K813" s="28">
        <v>0.81100000000000005</v>
      </c>
      <c r="L813" s="40">
        <f t="shared" si="12"/>
        <v>0.96779833475115573</v>
      </c>
    </row>
    <row r="814" spans="11:12" x14ac:dyDescent="0.3">
      <c r="K814" s="28">
        <v>0.81200000000000006</v>
      </c>
      <c r="L814" s="40">
        <f t="shared" si="12"/>
        <v>0.96793984602065142</v>
      </c>
    </row>
    <row r="815" spans="11:12" x14ac:dyDescent="0.3">
      <c r="K815" s="28">
        <v>0.81300000000000006</v>
      </c>
      <c r="L815" s="40">
        <f t="shared" si="12"/>
        <v>0.96808067896210837</v>
      </c>
    </row>
    <row r="816" spans="11:12" x14ac:dyDescent="0.3">
      <c r="K816" s="28">
        <v>0.81400000000000006</v>
      </c>
      <c r="L816" s="40">
        <f t="shared" si="12"/>
        <v>0.96822107421585124</v>
      </c>
    </row>
    <row r="817" spans="11:12" x14ac:dyDescent="0.3">
      <c r="K817" s="28">
        <v>0.81500000000000006</v>
      </c>
      <c r="L817" s="40">
        <f t="shared" si="12"/>
        <v>0.96836091479559561</v>
      </c>
    </row>
    <row r="818" spans="11:12" x14ac:dyDescent="0.3">
      <c r="K818" s="28">
        <v>0.81600000000000006</v>
      </c>
      <c r="L818" s="40">
        <f t="shared" si="12"/>
        <v>0.96850020292383165</v>
      </c>
    </row>
    <row r="819" spans="11:12" x14ac:dyDescent="0.3">
      <c r="K819" s="28">
        <v>0.81700000000000006</v>
      </c>
      <c r="L819" s="40">
        <f t="shared" si="12"/>
        <v>0.96863891102052291</v>
      </c>
    </row>
    <row r="820" spans="11:12" x14ac:dyDescent="0.3">
      <c r="K820" s="28">
        <v>0.81800000000000006</v>
      </c>
      <c r="L820" s="40">
        <f t="shared" si="12"/>
        <v>0.96877708601200974</v>
      </c>
    </row>
    <row r="821" spans="11:12" x14ac:dyDescent="0.3">
      <c r="K821" s="28">
        <v>0.81900000000000006</v>
      </c>
      <c r="L821" s="40">
        <f t="shared" si="12"/>
        <v>0.96891470031817861</v>
      </c>
    </row>
    <row r="822" spans="11:12" x14ac:dyDescent="0.3">
      <c r="K822" s="28">
        <v>0.82000000000000006</v>
      </c>
      <c r="L822" s="40">
        <f t="shared" si="12"/>
        <v>0.96905175715980407</v>
      </c>
    </row>
    <row r="823" spans="11:12" x14ac:dyDescent="0.3">
      <c r="K823" s="28">
        <v>0.82100000000000006</v>
      </c>
      <c r="L823" s="40">
        <f t="shared" si="12"/>
        <v>0.96918833427544748</v>
      </c>
    </row>
    <row r="824" spans="11:12" x14ac:dyDescent="0.3">
      <c r="K824" s="28">
        <v>0.82200000000000006</v>
      </c>
      <c r="L824" s="40">
        <f t="shared" si="12"/>
        <v>0.96932431203149227</v>
      </c>
    </row>
    <row r="825" spans="11:12" x14ac:dyDescent="0.3">
      <c r="K825" s="28">
        <v>0.82300000000000006</v>
      </c>
      <c r="L825" s="40">
        <f t="shared" si="12"/>
        <v>0.96945975161678211</v>
      </c>
    </row>
    <row r="826" spans="11:12" x14ac:dyDescent="0.3">
      <c r="K826" s="28">
        <v>0.82400000000000007</v>
      </c>
      <c r="L826" s="40">
        <f t="shared" si="12"/>
        <v>0.96959471421919219</v>
      </c>
    </row>
    <row r="827" spans="11:12" x14ac:dyDescent="0.3">
      <c r="K827" s="28">
        <v>0.82500000000000007</v>
      </c>
      <c r="L827" s="40">
        <f t="shared" si="12"/>
        <v>0.96972908221387333</v>
      </c>
    </row>
    <row r="828" spans="11:12" x14ac:dyDescent="0.3">
      <c r="K828" s="28">
        <v>0.82600000000000007</v>
      </c>
      <c r="L828" s="40">
        <f t="shared" si="12"/>
        <v>0.96986294659173877</v>
      </c>
    </row>
    <row r="829" spans="11:12" x14ac:dyDescent="0.3">
      <c r="K829" s="28">
        <v>0.82700000000000007</v>
      </c>
      <c r="L829" s="40">
        <f t="shared" si="12"/>
        <v>0.9699962493318931</v>
      </c>
    </row>
    <row r="830" spans="11:12" x14ac:dyDescent="0.3">
      <c r="K830" s="28">
        <v>0.82800000000000007</v>
      </c>
      <c r="L830" s="40">
        <f t="shared" si="12"/>
        <v>0.9701290665244402</v>
      </c>
    </row>
    <row r="831" spans="11:12" x14ac:dyDescent="0.3">
      <c r="K831" s="28">
        <v>0.82900000000000007</v>
      </c>
      <c r="L831" s="40">
        <f t="shared" si="12"/>
        <v>0.97026133269783055</v>
      </c>
    </row>
    <row r="832" spans="11:12" x14ac:dyDescent="0.3">
      <c r="K832" s="28">
        <v>0.83000000000000007</v>
      </c>
      <c r="L832" s="40">
        <f t="shared" si="12"/>
        <v>0.97039307402638375</v>
      </c>
    </row>
    <row r="833" spans="11:12" x14ac:dyDescent="0.3">
      <c r="K833" s="28">
        <v>0.83100000000000007</v>
      </c>
      <c r="L833" s="40">
        <f t="shared" si="12"/>
        <v>0.97052428331207063</v>
      </c>
    </row>
    <row r="834" spans="11:12" x14ac:dyDescent="0.3">
      <c r="K834" s="28">
        <v>0.83200000000000007</v>
      </c>
      <c r="L834" s="40">
        <f t="shared" si="12"/>
        <v>0.9706549689113797</v>
      </c>
    </row>
    <row r="835" spans="11:12" x14ac:dyDescent="0.3">
      <c r="K835" s="28">
        <v>0.83299999999999996</v>
      </c>
      <c r="L835" s="40">
        <f t="shared" ref="L835:L898" si="13">cubic_Spline($A$2:$A$152,$B$2:$B$152,K835)</f>
        <v>0.97078513263741573</v>
      </c>
    </row>
    <row r="836" spans="11:12" x14ac:dyDescent="0.3">
      <c r="K836" s="28">
        <v>0.83399999999999996</v>
      </c>
      <c r="L836" s="40">
        <f t="shared" si="13"/>
        <v>0.9709147763023761</v>
      </c>
    </row>
    <row r="837" spans="11:12" x14ac:dyDescent="0.3">
      <c r="K837" s="28">
        <v>0.83499999999999996</v>
      </c>
      <c r="L837" s="40">
        <f t="shared" si="13"/>
        <v>0.9710439017196002</v>
      </c>
    </row>
    <row r="838" spans="11:12" x14ac:dyDescent="0.3">
      <c r="K838" s="28">
        <v>0.83599999999999997</v>
      </c>
      <c r="L838" s="40">
        <f t="shared" si="13"/>
        <v>0.97117254050428081</v>
      </c>
    </row>
    <row r="839" spans="11:12" x14ac:dyDescent="0.3">
      <c r="K839" s="28">
        <v>0.83699999999999997</v>
      </c>
      <c r="L839" s="40">
        <f t="shared" si="13"/>
        <v>0.97130060506213023</v>
      </c>
    </row>
    <row r="840" spans="11:12" x14ac:dyDescent="0.3">
      <c r="K840" s="28">
        <v>0.83799999999999997</v>
      </c>
      <c r="L840" s="40">
        <f t="shared" si="13"/>
        <v>0.97142820151448883</v>
      </c>
    </row>
    <row r="841" spans="11:12" x14ac:dyDescent="0.3">
      <c r="K841" s="28">
        <v>0.83899999999999997</v>
      </c>
      <c r="L841" s="40">
        <f t="shared" si="13"/>
        <v>0.97155527206931991</v>
      </c>
    </row>
    <row r="842" spans="11:12" x14ac:dyDescent="0.3">
      <c r="K842" s="28">
        <v>0.84</v>
      </c>
      <c r="L842" s="40">
        <f t="shared" si="13"/>
        <v>0.97168182190436425</v>
      </c>
    </row>
    <row r="843" spans="11:12" x14ac:dyDescent="0.3">
      <c r="K843" s="28">
        <v>0.84099999999999997</v>
      </c>
      <c r="L843" s="40">
        <f t="shared" si="13"/>
        <v>0.97180790483599244</v>
      </c>
    </row>
    <row r="844" spans="11:12" x14ac:dyDescent="0.3">
      <c r="K844" s="28">
        <v>0.84199999999999997</v>
      </c>
      <c r="L844" s="40">
        <f t="shared" si="13"/>
        <v>0.97193348224719267</v>
      </c>
    </row>
    <row r="845" spans="11:12" x14ac:dyDescent="0.3">
      <c r="K845" s="28">
        <v>0.84299999999999997</v>
      </c>
      <c r="L845" s="40">
        <f t="shared" si="13"/>
        <v>0.9720584963834904</v>
      </c>
    </row>
    <row r="846" spans="11:12" x14ac:dyDescent="0.3">
      <c r="K846" s="28">
        <v>0.84399999999999997</v>
      </c>
      <c r="L846" s="40">
        <f t="shared" si="13"/>
        <v>0.97218300869879437</v>
      </c>
    </row>
    <row r="847" spans="11:12" x14ac:dyDescent="0.3">
      <c r="K847" s="28">
        <v>0.84499999999999997</v>
      </c>
      <c r="L847" s="40">
        <f t="shared" si="13"/>
        <v>0.97230708064814675</v>
      </c>
    </row>
    <row r="848" spans="11:12" x14ac:dyDescent="0.3">
      <c r="K848" s="28">
        <v>0.84599999999999997</v>
      </c>
      <c r="L848" s="40">
        <f t="shared" si="13"/>
        <v>0.97243065447683674</v>
      </c>
    </row>
    <row r="849" spans="11:12" x14ac:dyDescent="0.3">
      <c r="K849" s="28">
        <v>0.84699999999999998</v>
      </c>
      <c r="L849" s="40">
        <f t="shared" si="13"/>
        <v>0.97255367242996937</v>
      </c>
    </row>
    <row r="850" spans="11:12" x14ac:dyDescent="0.3">
      <c r="K850" s="28">
        <v>0.84799999999999998</v>
      </c>
      <c r="L850" s="40">
        <f t="shared" si="13"/>
        <v>0.97267624066593705</v>
      </c>
    </row>
    <row r="851" spans="11:12" x14ac:dyDescent="0.3">
      <c r="K851" s="28">
        <v>0.84899999999999998</v>
      </c>
      <c r="L851" s="40">
        <f t="shared" si="13"/>
        <v>0.97279830888035612</v>
      </c>
    </row>
    <row r="852" spans="11:12" x14ac:dyDescent="0.3">
      <c r="K852" s="28">
        <v>0.85</v>
      </c>
      <c r="L852" s="40">
        <f t="shared" si="13"/>
        <v>0.97291988340830804</v>
      </c>
    </row>
    <row r="853" spans="11:12" x14ac:dyDescent="0.3">
      <c r="K853" s="28">
        <v>0.85099999999999998</v>
      </c>
      <c r="L853" s="40">
        <f t="shared" si="13"/>
        <v>0.97304098353807755</v>
      </c>
    </row>
    <row r="854" spans="11:12" x14ac:dyDescent="0.3">
      <c r="K854" s="28">
        <v>0.85199999999999998</v>
      </c>
      <c r="L854" s="40">
        <f t="shared" si="13"/>
        <v>0.97316159640166999</v>
      </c>
    </row>
    <row r="855" spans="11:12" x14ac:dyDescent="0.3">
      <c r="K855" s="28">
        <v>0.85299999999999998</v>
      </c>
      <c r="L855" s="40">
        <f t="shared" si="13"/>
        <v>0.97328166399933214</v>
      </c>
    </row>
    <row r="856" spans="11:12" x14ac:dyDescent="0.3">
      <c r="K856" s="28">
        <v>0.85399999999999998</v>
      </c>
      <c r="L856" s="40">
        <f t="shared" si="13"/>
        <v>0.97340130714437056</v>
      </c>
    </row>
    <row r="857" spans="11:12" x14ac:dyDescent="0.3">
      <c r="K857" s="28">
        <v>0.85499999999999998</v>
      </c>
      <c r="L857" s="40">
        <f t="shared" si="13"/>
        <v>0.97352043803492838</v>
      </c>
    </row>
    <row r="858" spans="11:12" x14ac:dyDescent="0.3">
      <c r="K858" s="28">
        <v>0.85599999999999998</v>
      </c>
      <c r="L858" s="40">
        <f t="shared" si="13"/>
        <v>0.97363911788031376</v>
      </c>
    </row>
    <row r="859" spans="11:12" x14ac:dyDescent="0.3">
      <c r="K859" s="28">
        <v>0.85699999999999998</v>
      </c>
      <c r="L859" s="40">
        <f t="shared" si="13"/>
        <v>0.97375728868036782</v>
      </c>
    </row>
    <row r="860" spans="11:12" x14ac:dyDescent="0.3">
      <c r="K860" s="28">
        <v>0.85799999999999998</v>
      </c>
      <c r="L860" s="40">
        <f t="shared" si="13"/>
        <v>0.97387501164471657</v>
      </c>
    </row>
    <row r="861" spans="11:12" x14ac:dyDescent="0.3">
      <c r="K861" s="28">
        <v>0.85899999999999999</v>
      </c>
      <c r="L861" s="40">
        <f t="shared" si="13"/>
        <v>0.97399223622371534</v>
      </c>
    </row>
    <row r="862" spans="11:12" x14ac:dyDescent="0.3">
      <c r="K862" s="28">
        <v>0.86</v>
      </c>
      <c r="L862" s="40">
        <f t="shared" si="13"/>
        <v>0.97410896977167727</v>
      </c>
    </row>
    <row r="863" spans="11:12" x14ac:dyDescent="0.3">
      <c r="K863" s="28">
        <v>0.86099999999999999</v>
      </c>
      <c r="L863" s="40">
        <f t="shared" si="13"/>
        <v>0.97422526957908051</v>
      </c>
    </row>
    <row r="864" spans="11:12" x14ac:dyDescent="0.3">
      <c r="K864" s="28">
        <v>0.86199999999999999</v>
      </c>
      <c r="L864" s="40">
        <f t="shared" si="13"/>
        <v>0.97434109826211335</v>
      </c>
    </row>
    <row r="865" spans="11:12" x14ac:dyDescent="0.3">
      <c r="K865" s="28">
        <v>0.86299999999999999</v>
      </c>
      <c r="L865" s="40">
        <f t="shared" si="13"/>
        <v>0.97445639791601968</v>
      </c>
    </row>
    <row r="866" spans="11:12" x14ac:dyDescent="0.3">
      <c r="K866" s="28">
        <v>0.86399999999999999</v>
      </c>
      <c r="L866" s="40">
        <f t="shared" si="13"/>
        <v>0.97457128944913218</v>
      </c>
    </row>
    <row r="867" spans="11:12" x14ac:dyDescent="0.3">
      <c r="K867" s="28">
        <v>0.86499999999999999</v>
      </c>
      <c r="L867" s="40">
        <f t="shared" si="13"/>
        <v>0.97468571495690581</v>
      </c>
    </row>
    <row r="868" spans="11:12" x14ac:dyDescent="0.3">
      <c r="K868" s="28">
        <v>0.86599999999999999</v>
      </c>
      <c r="L868" s="40">
        <f t="shared" si="13"/>
        <v>0.97479967613900842</v>
      </c>
    </row>
    <row r="869" spans="11:12" x14ac:dyDescent="0.3">
      <c r="K869" s="28">
        <v>0.86699999999999999</v>
      </c>
      <c r="L869" s="40">
        <f t="shared" si="13"/>
        <v>0.97491314489261416</v>
      </c>
    </row>
    <row r="870" spans="11:12" x14ac:dyDescent="0.3">
      <c r="K870" s="28">
        <v>0.86799999999999999</v>
      </c>
      <c r="L870" s="40">
        <f t="shared" si="13"/>
        <v>0.97502618252234308</v>
      </c>
    </row>
    <row r="871" spans="11:12" x14ac:dyDescent="0.3">
      <c r="K871" s="28">
        <v>0.86899999999999999</v>
      </c>
      <c r="L871" s="40">
        <f t="shared" si="13"/>
        <v>0.9751387385735627</v>
      </c>
    </row>
    <row r="872" spans="11:12" x14ac:dyDescent="0.3">
      <c r="K872" s="28">
        <v>0.87</v>
      </c>
      <c r="L872" s="40">
        <f t="shared" si="13"/>
        <v>0.97525085145447554</v>
      </c>
    </row>
    <row r="873" spans="11:12" x14ac:dyDescent="0.3">
      <c r="K873" s="28">
        <v>0.871</v>
      </c>
      <c r="L873" s="40">
        <f t="shared" si="13"/>
        <v>0.97536249871542335</v>
      </c>
    </row>
    <row r="874" spans="11:12" x14ac:dyDescent="0.3">
      <c r="K874" s="28">
        <v>0.872</v>
      </c>
      <c r="L874" s="40">
        <f t="shared" si="13"/>
        <v>0.97547369175939302</v>
      </c>
    </row>
    <row r="875" spans="11:12" x14ac:dyDescent="0.3">
      <c r="K875" s="28">
        <v>0.873</v>
      </c>
      <c r="L875" s="40">
        <f t="shared" si="13"/>
        <v>0.9755844321968139</v>
      </c>
    </row>
    <row r="876" spans="11:12" x14ac:dyDescent="0.3">
      <c r="K876" s="28">
        <v>0.874</v>
      </c>
      <c r="L876" s="40">
        <f t="shared" si="13"/>
        <v>0.97569472163730064</v>
      </c>
    </row>
    <row r="877" spans="11:12" x14ac:dyDescent="0.3">
      <c r="K877" s="28">
        <v>0.875</v>
      </c>
      <c r="L877" s="40">
        <f t="shared" si="13"/>
        <v>0.97580456169148622</v>
      </c>
    </row>
    <row r="878" spans="11:12" x14ac:dyDescent="0.3">
      <c r="K878" s="28">
        <v>0.876</v>
      </c>
      <c r="L878" s="40">
        <f t="shared" si="13"/>
        <v>0.97591395396958736</v>
      </c>
    </row>
    <row r="879" spans="11:12" x14ac:dyDescent="0.3">
      <c r="K879" s="28">
        <v>0.877</v>
      </c>
      <c r="L879" s="40">
        <f t="shared" si="13"/>
        <v>0.97602290008165538</v>
      </c>
    </row>
    <row r="880" spans="11:12" x14ac:dyDescent="0.3">
      <c r="K880" s="28">
        <v>0.878</v>
      </c>
      <c r="L880" s="40">
        <f t="shared" si="13"/>
        <v>0.97613141653936486</v>
      </c>
    </row>
    <row r="881" spans="11:12" x14ac:dyDescent="0.3">
      <c r="K881" s="28">
        <v>0.879</v>
      </c>
      <c r="L881" s="40">
        <f t="shared" si="13"/>
        <v>0.97623947515038223</v>
      </c>
    </row>
    <row r="882" spans="11:12" x14ac:dyDescent="0.3">
      <c r="K882" s="28">
        <v>0.88</v>
      </c>
      <c r="L882" s="40">
        <f t="shared" si="13"/>
        <v>0.97634707804775989</v>
      </c>
    </row>
    <row r="883" spans="11:12" x14ac:dyDescent="0.3">
      <c r="K883" s="28">
        <v>0.88100000000000001</v>
      </c>
      <c r="L883" s="40">
        <f t="shared" si="13"/>
        <v>0.97645426760800758</v>
      </c>
    </row>
    <row r="884" spans="11:12" x14ac:dyDescent="0.3">
      <c r="K884" s="28">
        <v>0.88200000000000001</v>
      </c>
      <c r="L884" s="40">
        <f t="shared" si="13"/>
        <v>0.97656101895872971</v>
      </c>
    </row>
    <row r="885" spans="11:12" x14ac:dyDescent="0.3">
      <c r="K885" s="28">
        <v>0.88300000000000001</v>
      </c>
      <c r="L885" s="40">
        <f t="shared" si="13"/>
        <v>0.97666727401083164</v>
      </c>
    </row>
    <row r="886" spans="11:12" x14ac:dyDescent="0.3">
      <c r="K886" s="28">
        <v>0.88400000000000001</v>
      </c>
      <c r="L886" s="40">
        <f t="shared" si="13"/>
        <v>0.97677315348836613</v>
      </c>
    </row>
    <row r="887" spans="11:12" x14ac:dyDescent="0.3">
      <c r="K887" s="28">
        <v>0.88500000000000001</v>
      </c>
      <c r="L887" s="40">
        <f t="shared" si="13"/>
        <v>0.97687862910475698</v>
      </c>
    </row>
    <row r="888" spans="11:12" x14ac:dyDescent="0.3">
      <c r="K888" s="28">
        <v>0.88600000000000001</v>
      </c>
      <c r="L888" s="40">
        <f t="shared" si="13"/>
        <v>0.97698364277070415</v>
      </c>
    </row>
    <row r="889" spans="11:12" x14ac:dyDescent="0.3">
      <c r="K889" s="28">
        <v>0.88700000000000001</v>
      </c>
      <c r="L889" s="40">
        <f t="shared" si="13"/>
        <v>0.97708819600139241</v>
      </c>
    </row>
    <row r="890" spans="11:12" x14ac:dyDescent="0.3">
      <c r="K890" s="28">
        <v>0.88800000000000001</v>
      </c>
      <c r="L890" s="40">
        <f t="shared" si="13"/>
        <v>0.97719234991709691</v>
      </c>
    </row>
    <row r="891" spans="11:12" x14ac:dyDescent="0.3">
      <c r="K891" s="28">
        <v>0.88900000000000001</v>
      </c>
      <c r="L891" s="40">
        <f t="shared" si="13"/>
        <v>0.97729606132945934</v>
      </c>
    </row>
    <row r="892" spans="11:12" x14ac:dyDescent="0.3">
      <c r="K892" s="28">
        <v>0.89</v>
      </c>
      <c r="L892" s="40">
        <f t="shared" si="13"/>
        <v>0.97739937796267862</v>
      </c>
    </row>
    <row r="893" spans="11:12" x14ac:dyDescent="0.3">
      <c r="K893" s="28">
        <v>0.89100000000000001</v>
      </c>
      <c r="L893" s="40">
        <f t="shared" si="13"/>
        <v>0.97750221797440595</v>
      </c>
    </row>
    <row r="894" spans="11:12" x14ac:dyDescent="0.3">
      <c r="K894" s="28">
        <v>0.89200000000000002</v>
      </c>
      <c r="L894" s="40">
        <f t="shared" si="13"/>
        <v>0.97760469464614319</v>
      </c>
    </row>
    <row r="895" spans="11:12" x14ac:dyDescent="0.3">
      <c r="K895" s="28">
        <v>0.89300000000000002</v>
      </c>
      <c r="L895" s="40">
        <f t="shared" si="13"/>
        <v>0.97770663079079079</v>
      </c>
    </row>
    <row r="896" spans="11:12" x14ac:dyDescent="0.3">
      <c r="K896" s="28">
        <v>0.89400000000000002</v>
      </c>
      <c r="L896" s="40">
        <f t="shared" si="13"/>
        <v>0.97780826645300201</v>
      </c>
    </row>
    <row r="897" spans="11:12" x14ac:dyDescent="0.3">
      <c r="K897" s="28">
        <v>0.89500000000000002</v>
      </c>
      <c r="L897" s="40">
        <f t="shared" si="13"/>
        <v>0.97790945424818954</v>
      </c>
    </row>
    <row r="898" spans="11:12" x14ac:dyDescent="0.3">
      <c r="K898" s="28">
        <v>0.89600000000000002</v>
      </c>
      <c r="L898" s="40">
        <f t="shared" si="13"/>
        <v>0.97801025540763353</v>
      </c>
    </row>
    <row r="899" spans="11:12" x14ac:dyDescent="0.3">
      <c r="K899" s="28">
        <v>0.89700000000000002</v>
      </c>
      <c r="L899" s="40">
        <f t="shared" ref="L899:L962" si="14">cubic_Spline($A$2:$A$152,$B$2:$B$152,K899)</f>
        <v>0.97811058215084878</v>
      </c>
    </row>
    <row r="900" spans="11:12" x14ac:dyDescent="0.3">
      <c r="K900" s="28">
        <v>0.89800000000000002</v>
      </c>
      <c r="L900" s="40">
        <f t="shared" si="14"/>
        <v>0.97821054041287592</v>
      </c>
    </row>
    <row r="901" spans="11:12" x14ac:dyDescent="0.3">
      <c r="K901" s="28">
        <v>0.89900000000000002</v>
      </c>
      <c r="L901" s="40">
        <f t="shared" si="14"/>
        <v>0.97831005731433307</v>
      </c>
    </row>
    <row r="902" spans="11:12" x14ac:dyDescent="0.3">
      <c r="K902" s="28">
        <v>0.9</v>
      </c>
      <c r="L902" s="40">
        <f t="shared" si="14"/>
        <v>0.97840918157913659</v>
      </c>
    </row>
    <row r="903" spans="11:12" x14ac:dyDescent="0.3">
      <c r="K903" s="28">
        <v>0.90100000000000002</v>
      </c>
      <c r="L903" s="40">
        <f t="shared" si="14"/>
        <v>0.9785078901678218</v>
      </c>
    </row>
    <row r="904" spans="11:12" x14ac:dyDescent="0.3">
      <c r="K904" s="28">
        <v>0.90200000000000002</v>
      </c>
      <c r="L904" s="40">
        <f t="shared" si="14"/>
        <v>0.97860619169417784</v>
      </c>
    </row>
    <row r="905" spans="11:12" x14ac:dyDescent="0.3">
      <c r="K905" s="28">
        <v>0.90300000000000002</v>
      </c>
      <c r="L905" s="40">
        <f t="shared" si="14"/>
        <v>0.9787040874008397</v>
      </c>
    </row>
    <row r="906" spans="11:12" x14ac:dyDescent="0.3">
      <c r="K906" s="28">
        <v>0.90400000000000003</v>
      </c>
      <c r="L906" s="40">
        <f t="shared" si="14"/>
        <v>0.97880157852971161</v>
      </c>
    </row>
    <row r="907" spans="11:12" x14ac:dyDescent="0.3">
      <c r="K907" s="28">
        <v>0.90500000000000003</v>
      </c>
      <c r="L907" s="40">
        <f t="shared" si="14"/>
        <v>0.97889866632361067</v>
      </c>
    </row>
    <row r="908" spans="11:12" x14ac:dyDescent="0.3">
      <c r="K908" s="28">
        <v>0.90600000000000003</v>
      </c>
      <c r="L908" s="40">
        <f t="shared" si="14"/>
        <v>0.978995352024981</v>
      </c>
    </row>
    <row r="909" spans="11:12" x14ac:dyDescent="0.3">
      <c r="K909" s="28">
        <v>0.90700000000000003</v>
      </c>
      <c r="L909" s="40">
        <f t="shared" si="14"/>
        <v>0.97909163687611844</v>
      </c>
    </row>
    <row r="910" spans="11:12" x14ac:dyDescent="0.3">
      <c r="K910" s="28">
        <v>0.90800000000000003</v>
      </c>
      <c r="L910" s="40">
        <f t="shared" si="14"/>
        <v>0.97918752211973237</v>
      </c>
    </row>
    <row r="911" spans="11:12" x14ac:dyDescent="0.3">
      <c r="K911" s="28">
        <v>0.90900000000000003</v>
      </c>
      <c r="L911" s="40">
        <f t="shared" si="14"/>
        <v>0.97928301644864391</v>
      </c>
    </row>
    <row r="912" spans="11:12" x14ac:dyDescent="0.3">
      <c r="K912" s="28">
        <v>0.91</v>
      </c>
      <c r="L912" s="40">
        <f t="shared" si="14"/>
        <v>0.97937809619722227</v>
      </c>
    </row>
    <row r="913" spans="11:12" x14ac:dyDescent="0.3">
      <c r="K913" s="28">
        <v>0.91100000000000003</v>
      </c>
      <c r="L913" s="40">
        <f t="shared" si="14"/>
        <v>0.9794728131320517</v>
      </c>
    </row>
    <row r="914" spans="11:12" x14ac:dyDescent="0.3">
      <c r="K914" s="28">
        <v>0.91200000000000003</v>
      </c>
      <c r="L914" s="40">
        <f t="shared" si="14"/>
        <v>0.97956713588492195</v>
      </c>
    </row>
    <row r="915" spans="11:12" x14ac:dyDescent="0.3">
      <c r="K915" s="28">
        <v>0.91300000000000003</v>
      </c>
      <c r="L915" s="40">
        <f t="shared" si="14"/>
        <v>0.97966100654961596</v>
      </c>
    </row>
    <row r="916" spans="11:12" x14ac:dyDescent="0.3">
      <c r="K916" s="28">
        <v>0.91400000000000003</v>
      </c>
      <c r="L916" s="40">
        <f t="shared" si="14"/>
        <v>0.97975448642849838</v>
      </c>
    </row>
    <row r="917" spans="11:12" x14ac:dyDescent="0.3">
      <c r="K917" s="28">
        <v>0.91500000000000004</v>
      </c>
      <c r="L917" s="40">
        <f t="shared" si="14"/>
        <v>0.9798476666271414</v>
      </c>
    </row>
    <row r="918" spans="11:12" x14ac:dyDescent="0.3">
      <c r="K918" s="28">
        <v>0.91600000000000004</v>
      </c>
      <c r="L918" s="40">
        <f t="shared" si="14"/>
        <v>0.97994039983217585</v>
      </c>
    </row>
    <row r="919" spans="11:12" x14ac:dyDescent="0.3">
      <c r="K919" s="28">
        <v>0.91700000000000004</v>
      </c>
      <c r="L919" s="40">
        <f t="shared" si="14"/>
        <v>0.98003274734634627</v>
      </c>
    </row>
    <row r="920" spans="11:12" x14ac:dyDescent="0.3">
      <c r="K920" s="28">
        <v>0.91800000000000004</v>
      </c>
      <c r="L920" s="40">
        <f t="shared" si="14"/>
        <v>0.98012472576931409</v>
      </c>
    </row>
    <row r="921" spans="11:12" x14ac:dyDescent="0.3">
      <c r="K921" s="28">
        <v>0.91900000000000004</v>
      </c>
      <c r="L921" s="40">
        <f t="shared" si="14"/>
        <v>0.98021631444738322</v>
      </c>
    </row>
    <row r="922" spans="11:12" x14ac:dyDescent="0.3">
      <c r="K922" s="28">
        <v>0.92</v>
      </c>
      <c r="L922" s="40">
        <f t="shared" si="14"/>
        <v>0.98030749117601357</v>
      </c>
    </row>
    <row r="923" spans="11:12" x14ac:dyDescent="0.3">
      <c r="K923" s="28">
        <v>0.92100000000000004</v>
      </c>
      <c r="L923" s="40">
        <f t="shared" si="14"/>
        <v>0.98039836060365593</v>
      </c>
    </row>
    <row r="924" spans="11:12" x14ac:dyDescent="0.3">
      <c r="K924" s="28">
        <v>0.92200000000000004</v>
      </c>
      <c r="L924" s="40">
        <f t="shared" si="14"/>
        <v>0.98048885236114225</v>
      </c>
    </row>
    <row r="925" spans="11:12" x14ac:dyDescent="0.3">
      <c r="K925" s="28">
        <v>0.92300000000000004</v>
      </c>
      <c r="L925" s="40">
        <f t="shared" si="14"/>
        <v>0.98057884846683052</v>
      </c>
    </row>
    <row r="926" spans="11:12" x14ac:dyDescent="0.3">
      <c r="K926" s="28">
        <v>0.92400000000000004</v>
      </c>
      <c r="L926" s="40">
        <f t="shared" si="14"/>
        <v>0.98066858856627004</v>
      </c>
    </row>
    <row r="927" spans="11:12" x14ac:dyDescent="0.3">
      <c r="K927" s="28">
        <v>0.92500000000000004</v>
      </c>
      <c r="L927" s="40">
        <f t="shared" si="14"/>
        <v>0.98075789507334366</v>
      </c>
    </row>
    <row r="928" spans="11:12" x14ac:dyDescent="0.3">
      <c r="K928" s="28">
        <v>0.92600000000000005</v>
      </c>
      <c r="L928" s="40">
        <f t="shared" si="14"/>
        <v>0.9808468586224891</v>
      </c>
    </row>
    <row r="929" spans="11:12" x14ac:dyDescent="0.3">
      <c r="K929" s="28">
        <v>0.92700000000000005</v>
      </c>
      <c r="L929" s="40">
        <f t="shared" si="14"/>
        <v>0.98093542083639529</v>
      </c>
    </row>
    <row r="930" spans="11:12" x14ac:dyDescent="0.3">
      <c r="K930" s="28">
        <v>0.92800000000000005</v>
      </c>
      <c r="L930" s="40">
        <f t="shared" si="14"/>
        <v>0.98102365744858522</v>
      </c>
    </row>
    <row r="931" spans="11:12" x14ac:dyDescent="0.3">
      <c r="K931" s="28">
        <v>0.92900000000000005</v>
      </c>
      <c r="L931" s="40">
        <f t="shared" si="14"/>
        <v>0.98111149518053475</v>
      </c>
    </row>
    <row r="932" spans="11:12" x14ac:dyDescent="0.3">
      <c r="K932" s="28">
        <v>0.93</v>
      </c>
      <c r="L932" s="40">
        <f t="shared" si="14"/>
        <v>0.98119897932567035</v>
      </c>
    </row>
    <row r="933" spans="11:12" x14ac:dyDescent="0.3">
      <c r="K933" s="28">
        <v>0.93100000000000005</v>
      </c>
      <c r="L933" s="40">
        <f t="shared" si="14"/>
        <v>0.98128610353635992</v>
      </c>
    </row>
    <row r="934" spans="11:12" x14ac:dyDescent="0.3">
      <c r="K934" s="28">
        <v>0.93200000000000005</v>
      </c>
      <c r="L934" s="40">
        <f t="shared" si="14"/>
        <v>0.98137286238389043</v>
      </c>
    </row>
    <row r="935" spans="11:12" x14ac:dyDescent="0.3">
      <c r="K935" s="28">
        <v>0.93300000000000005</v>
      </c>
      <c r="L935" s="40">
        <f t="shared" si="14"/>
        <v>0.98145919752341648</v>
      </c>
    </row>
    <row r="936" spans="11:12" x14ac:dyDescent="0.3">
      <c r="K936" s="28">
        <v>0.93400000000000005</v>
      </c>
      <c r="L936" s="40">
        <f t="shared" si="14"/>
        <v>0.98154516981872664</v>
      </c>
    </row>
    <row r="937" spans="11:12" x14ac:dyDescent="0.3">
      <c r="K937" s="28">
        <v>0.93500000000000005</v>
      </c>
      <c r="L937" s="40">
        <f t="shared" si="14"/>
        <v>0.98163086993675053</v>
      </c>
    </row>
    <row r="938" spans="11:12" x14ac:dyDescent="0.3">
      <c r="K938" s="28">
        <v>0.93600000000000005</v>
      </c>
      <c r="L938" s="40">
        <f t="shared" si="14"/>
        <v>0.98171617992782689</v>
      </c>
    </row>
    <row r="939" spans="11:12" x14ac:dyDescent="0.3">
      <c r="K939" s="28">
        <v>0.93700000000000006</v>
      </c>
      <c r="L939" s="40">
        <f t="shared" si="14"/>
        <v>0.98180110105145069</v>
      </c>
    </row>
    <row r="940" spans="11:12" x14ac:dyDescent="0.3">
      <c r="K940" s="28">
        <v>0.93800000000000006</v>
      </c>
      <c r="L940" s="40">
        <f t="shared" si="14"/>
        <v>0.98188567927097192</v>
      </c>
    </row>
    <row r="941" spans="11:12" x14ac:dyDescent="0.3">
      <c r="K941" s="28">
        <v>0.93900000000000006</v>
      </c>
      <c r="L941" s="40">
        <f t="shared" si="14"/>
        <v>0.98196989349409392</v>
      </c>
    </row>
    <row r="942" spans="11:12" x14ac:dyDescent="0.3">
      <c r="K942" s="28">
        <v>0.94000000000000006</v>
      </c>
      <c r="L942" s="40">
        <f t="shared" si="14"/>
        <v>0.98205375263490602</v>
      </c>
    </row>
    <row r="943" spans="11:12" x14ac:dyDescent="0.3">
      <c r="K943" s="28">
        <v>0.94100000000000006</v>
      </c>
      <c r="L943" s="40">
        <f t="shared" si="14"/>
        <v>0.98213728599599015</v>
      </c>
    </row>
    <row r="944" spans="11:12" x14ac:dyDescent="0.3">
      <c r="K944" s="28">
        <v>0.94200000000000006</v>
      </c>
      <c r="L944" s="40">
        <f t="shared" si="14"/>
        <v>0.98222046693248233</v>
      </c>
    </row>
    <row r="945" spans="11:12" x14ac:dyDescent="0.3">
      <c r="K945" s="28">
        <v>0.94300000000000006</v>
      </c>
      <c r="L945" s="40">
        <f t="shared" si="14"/>
        <v>0.9823032374416889</v>
      </c>
    </row>
    <row r="946" spans="11:12" x14ac:dyDescent="0.3">
      <c r="K946" s="28">
        <v>0.94400000000000006</v>
      </c>
      <c r="L946" s="40">
        <f t="shared" si="14"/>
        <v>0.9823856587295734</v>
      </c>
    </row>
    <row r="947" spans="11:12" x14ac:dyDescent="0.3">
      <c r="K947" s="28">
        <v>0.94500000000000006</v>
      </c>
      <c r="L947" s="40">
        <f t="shared" si="14"/>
        <v>0.98246779200289003</v>
      </c>
    </row>
    <row r="948" spans="11:12" x14ac:dyDescent="0.3">
      <c r="K948" s="28">
        <v>0.94600000000000006</v>
      </c>
      <c r="L948" s="40">
        <f t="shared" si="14"/>
        <v>0.9825495792587805</v>
      </c>
    </row>
    <row r="949" spans="11:12" x14ac:dyDescent="0.3">
      <c r="K949" s="28">
        <v>0.94700000000000006</v>
      </c>
      <c r="L949" s="40">
        <f t="shared" si="14"/>
        <v>0.98263099229658035</v>
      </c>
    </row>
    <row r="950" spans="11:12" x14ac:dyDescent="0.3">
      <c r="K950" s="28">
        <v>0.94800000000000006</v>
      </c>
      <c r="L950" s="40">
        <f t="shared" si="14"/>
        <v>0.98271207742178934</v>
      </c>
    </row>
    <row r="951" spans="11:12" x14ac:dyDescent="0.3">
      <c r="K951" s="28">
        <v>0.94900000000000007</v>
      </c>
      <c r="L951" s="40">
        <f t="shared" si="14"/>
        <v>0.98279280643369493</v>
      </c>
    </row>
    <row r="952" spans="11:12" x14ac:dyDescent="0.3">
      <c r="K952" s="28">
        <v>0.95000000000000007</v>
      </c>
      <c r="L952" s="40">
        <f t="shared" si="14"/>
        <v>0.98287318191101825</v>
      </c>
    </row>
    <row r="953" spans="11:12" x14ac:dyDescent="0.3">
      <c r="K953" s="28">
        <v>0.95100000000000007</v>
      </c>
      <c r="L953" s="40">
        <f t="shared" si="14"/>
        <v>0.98295325114926402</v>
      </c>
    </row>
    <row r="954" spans="11:12" x14ac:dyDescent="0.3">
      <c r="K954" s="28">
        <v>0.95200000000000007</v>
      </c>
      <c r="L954" s="40">
        <f t="shared" si="14"/>
        <v>0.9830329832953516</v>
      </c>
    </row>
    <row r="955" spans="11:12" x14ac:dyDescent="0.3">
      <c r="K955" s="28">
        <v>0.95300000000000007</v>
      </c>
      <c r="L955" s="40">
        <f t="shared" si="14"/>
        <v>0.98311231966103718</v>
      </c>
    </row>
    <row r="956" spans="11:12" x14ac:dyDescent="0.3">
      <c r="K956" s="28">
        <v>0.95400000000000007</v>
      </c>
      <c r="L956" s="40">
        <f t="shared" si="14"/>
        <v>0.98319138037140685</v>
      </c>
    </row>
    <row r="957" spans="11:12" x14ac:dyDescent="0.3">
      <c r="K957" s="28">
        <v>0.95500000000000007</v>
      </c>
      <c r="L957" s="40">
        <f t="shared" si="14"/>
        <v>0.98327013654069062</v>
      </c>
    </row>
    <row r="958" spans="11:12" x14ac:dyDescent="0.3">
      <c r="K958" s="28">
        <v>0.95600000000000007</v>
      </c>
      <c r="L958" s="40">
        <f t="shared" si="14"/>
        <v>0.98334852948048712</v>
      </c>
    </row>
    <row r="959" spans="11:12" x14ac:dyDescent="0.3">
      <c r="K959" s="28">
        <v>0.95700000000000007</v>
      </c>
      <c r="L959" s="40">
        <f t="shared" si="14"/>
        <v>0.98342656010691698</v>
      </c>
    </row>
    <row r="960" spans="11:12" x14ac:dyDescent="0.3">
      <c r="K960" s="28">
        <v>0.95800000000000007</v>
      </c>
      <c r="L960" s="40">
        <f t="shared" si="14"/>
        <v>0.9835042889410881</v>
      </c>
    </row>
    <row r="961" spans="11:12" x14ac:dyDescent="0.3">
      <c r="K961" s="28">
        <v>0.95900000000000007</v>
      </c>
      <c r="L961" s="40">
        <f t="shared" si="14"/>
        <v>0.98358167964617227</v>
      </c>
    </row>
    <row r="962" spans="11:12" x14ac:dyDescent="0.3">
      <c r="K962" s="28">
        <v>0.96</v>
      </c>
      <c r="L962" s="40">
        <f t="shared" si="14"/>
        <v>0.98365875716320461</v>
      </c>
    </row>
    <row r="963" spans="11:12" x14ac:dyDescent="0.3">
      <c r="K963" s="28">
        <v>0.96099999999999997</v>
      </c>
      <c r="L963" s="40">
        <f t="shared" ref="L963:L1026" si="15">cubic_Spline($A$2:$A$152,$B$2:$B$152,K963)</f>
        <v>0.98373550066502868</v>
      </c>
    </row>
    <row r="964" spans="11:12" x14ac:dyDescent="0.3">
      <c r="K964" s="28">
        <v>0.96199999999999997</v>
      </c>
      <c r="L964" s="40">
        <f t="shared" si="15"/>
        <v>0.98381191682278857</v>
      </c>
    </row>
    <row r="965" spans="11:12" x14ac:dyDescent="0.3">
      <c r="K965" s="28">
        <v>0.96299999999999997</v>
      </c>
      <c r="L965" s="40">
        <f t="shared" si="15"/>
        <v>0.98388788792912196</v>
      </c>
    </row>
    <row r="966" spans="11:12" x14ac:dyDescent="0.3">
      <c r="K966" s="28">
        <v>0.96399999999999997</v>
      </c>
      <c r="L966" s="40">
        <f t="shared" si="15"/>
        <v>0.98396365390394691</v>
      </c>
    </row>
    <row r="967" spans="11:12" x14ac:dyDescent="0.3">
      <c r="K967" s="28">
        <v>0.96499999999999997</v>
      </c>
      <c r="L967" s="40">
        <f t="shared" si="15"/>
        <v>0.98403912684236994</v>
      </c>
    </row>
    <row r="968" spans="11:12" x14ac:dyDescent="0.3">
      <c r="K968" s="28">
        <v>0.96599999999999997</v>
      </c>
      <c r="L968" s="40">
        <f t="shared" si="15"/>
        <v>0.98411424864151975</v>
      </c>
    </row>
    <row r="969" spans="11:12" x14ac:dyDescent="0.3">
      <c r="K969" s="28">
        <v>0.96699999999999997</v>
      </c>
      <c r="L969" s="40">
        <f t="shared" si="15"/>
        <v>0.98418902080305048</v>
      </c>
    </row>
    <row r="970" spans="11:12" x14ac:dyDescent="0.3">
      <c r="K970" s="28">
        <v>0.96799999999999997</v>
      </c>
      <c r="L970" s="40">
        <f t="shared" si="15"/>
        <v>0.98426348953243337</v>
      </c>
    </row>
    <row r="971" spans="11:12" x14ac:dyDescent="0.3">
      <c r="K971" s="28">
        <v>0.96899999999999997</v>
      </c>
      <c r="L971" s="40">
        <f t="shared" si="15"/>
        <v>0.98433764143011604</v>
      </c>
    </row>
    <row r="972" spans="11:12" x14ac:dyDescent="0.3">
      <c r="K972" s="28">
        <v>0.97</v>
      </c>
      <c r="L972" s="40">
        <f t="shared" si="15"/>
        <v>0.9844114609263821</v>
      </c>
    </row>
    <row r="973" spans="11:12" x14ac:dyDescent="0.3">
      <c r="K973" s="28">
        <v>0.97099999999999997</v>
      </c>
      <c r="L973" s="40">
        <f t="shared" si="15"/>
        <v>0.98448498285207742</v>
      </c>
    </row>
    <row r="974" spans="11:12" x14ac:dyDescent="0.3">
      <c r="K974" s="28">
        <v>0.97199999999999998</v>
      </c>
      <c r="L974" s="40">
        <f t="shared" si="15"/>
        <v>0.98455825155265486</v>
      </c>
    </row>
    <row r="975" spans="11:12" x14ac:dyDescent="0.3">
      <c r="K975" s="28">
        <v>0.97299999999999998</v>
      </c>
      <c r="L975" s="40">
        <f t="shared" si="15"/>
        <v>0.9846310892125395</v>
      </c>
    </row>
    <row r="976" spans="11:12" x14ac:dyDescent="0.3">
      <c r="K976" s="28">
        <v>0.97399999999999998</v>
      </c>
      <c r="L976" s="40">
        <f t="shared" si="15"/>
        <v>0.98470367564346351</v>
      </c>
    </row>
    <row r="977" spans="11:12" x14ac:dyDescent="0.3">
      <c r="K977" s="28">
        <v>0.97499999999999998</v>
      </c>
      <c r="L977" s="40">
        <f t="shared" si="15"/>
        <v>0.98477598204160377</v>
      </c>
    </row>
    <row r="978" spans="11:12" x14ac:dyDescent="0.3">
      <c r="K978" s="28">
        <v>0.97599999999999998</v>
      </c>
      <c r="L978" s="40">
        <f t="shared" si="15"/>
        <v>0.98484794980052803</v>
      </c>
    </row>
    <row r="979" spans="11:12" x14ac:dyDescent="0.3">
      <c r="K979" s="28">
        <v>0.97699999999999998</v>
      </c>
      <c r="L979" s="40">
        <f t="shared" si="15"/>
        <v>0.98491960972065762</v>
      </c>
    </row>
    <row r="980" spans="11:12" x14ac:dyDescent="0.3">
      <c r="K980" s="28">
        <v>0.97799999999999998</v>
      </c>
      <c r="L980" s="40">
        <f t="shared" si="15"/>
        <v>0.9849909628004091</v>
      </c>
    </row>
    <row r="981" spans="11:12" x14ac:dyDescent="0.3">
      <c r="K981" s="28">
        <v>0.97899999999999998</v>
      </c>
      <c r="L981" s="40">
        <f t="shared" si="15"/>
        <v>0.98506201003783855</v>
      </c>
    </row>
    <row r="982" spans="11:12" x14ac:dyDescent="0.3">
      <c r="K982" s="28">
        <v>0.98</v>
      </c>
      <c r="L982" s="40">
        <f t="shared" si="15"/>
        <v>0.98513278085782596</v>
      </c>
    </row>
    <row r="983" spans="11:12" x14ac:dyDescent="0.3">
      <c r="K983" s="28">
        <v>0.98099999999999998</v>
      </c>
      <c r="L983" s="40">
        <f t="shared" si="15"/>
        <v>0.98520322548041273</v>
      </c>
    </row>
    <row r="984" spans="11:12" x14ac:dyDescent="0.3">
      <c r="K984" s="28">
        <v>0.98199999999999998</v>
      </c>
      <c r="L984" s="40">
        <f t="shared" si="15"/>
        <v>0.98527336753000661</v>
      </c>
    </row>
    <row r="985" spans="11:12" x14ac:dyDescent="0.3">
      <c r="K985" s="28">
        <v>0.98299999999999998</v>
      </c>
      <c r="L985" s="40">
        <f t="shared" si="15"/>
        <v>0.98534314867485717</v>
      </c>
    </row>
    <row r="986" spans="11:12" x14ac:dyDescent="0.3">
      <c r="K986" s="28">
        <v>0.98399999999999999</v>
      </c>
      <c r="L986" s="40">
        <f t="shared" si="15"/>
        <v>0.98541268939660465</v>
      </c>
    </row>
    <row r="987" spans="11:12" x14ac:dyDescent="0.3">
      <c r="K987" s="28">
        <v>0.98499999999999999</v>
      </c>
      <c r="L987" s="40">
        <f t="shared" si="15"/>
        <v>0.98548193136363393</v>
      </c>
    </row>
    <row r="988" spans="11:12" x14ac:dyDescent="0.3">
      <c r="K988" s="28">
        <v>0.98599999999999999</v>
      </c>
      <c r="L988" s="40">
        <f t="shared" si="15"/>
        <v>0.98555090565101988</v>
      </c>
    </row>
    <row r="989" spans="11:12" x14ac:dyDescent="0.3">
      <c r="K989" s="28">
        <v>0.98699999999999999</v>
      </c>
      <c r="L989" s="40">
        <f t="shared" si="15"/>
        <v>0.9856195241244371</v>
      </c>
    </row>
    <row r="990" spans="11:12" x14ac:dyDescent="0.3">
      <c r="K990" s="28">
        <v>0.98799999999999999</v>
      </c>
      <c r="L990" s="40">
        <f t="shared" si="15"/>
        <v>0.98568787746380271</v>
      </c>
    </row>
    <row r="991" spans="11:12" x14ac:dyDescent="0.3">
      <c r="K991" s="28">
        <v>0.98899999999999999</v>
      </c>
      <c r="L991" s="40">
        <f t="shared" si="15"/>
        <v>0.9857559296888142</v>
      </c>
    </row>
    <row r="992" spans="11:12" x14ac:dyDescent="0.3">
      <c r="K992" s="28">
        <v>0.99</v>
      </c>
      <c r="L992" s="40">
        <f t="shared" si="15"/>
        <v>0.98582370376510464</v>
      </c>
    </row>
    <row r="993" spans="11:12" x14ac:dyDescent="0.3">
      <c r="K993" s="28">
        <v>0.99099999999999999</v>
      </c>
      <c r="L993" s="40">
        <f t="shared" si="15"/>
        <v>0.9858911918832588</v>
      </c>
    </row>
    <row r="994" spans="11:12" x14ac:dyDescent="0.3">
      <c r="K994" s="28">
        <v>0.99199999999999999</v>
      </c>
      <c r="L994" s="40">
        <f t="shared" si="15"/>
        <v>0.9859583899466019</v>
      </c>
    </row>
    <row r="995" spans="11:12" x14ac:dyDescent="0.3">
      <c r="K995" s="28">
        <v>0.99299999999999999</v>
      </c>
      <c r="L995" s="40">
        <f t="shared" si="15"/>
        <v>0.98602523941393028</v>
      </c>
    </row>
    <row r="996" spans="11:12" x14ac:dyDescent="0.3">
      <c r="K996" s="28">
        <v>0.99399999999999999</v>
      </c>
      <c r="L996" s="40">
        <f t="shared" si="15"/>
        <v>0.98609180095280824</v>
      </c>
    </row>
    <row r="997" spans="11:12" x14ac:dyDescent="0.3">
      <c r="K997" s="28">
        <v>0.995</v>
      </c>
      <c r="L997" s="40">
        <f t="shared" si="15"/>
        <v>0.98615816503377418</v>
      </c>
    </row>
    <row r="998" spans="11:12" x14ac:dyDescent="0.3">
      <c r="K998" s="28">
        <v>0.996</v>
      </c>
      <c r="L998" s="40">
        <f t="shared" si="15"/>
        <v>0.98622421351084266</v>
      </c>
    </row>
    <row r="999" spans="11:12" x14ac:dyDescent="0.3">
      <c r="K999" s="28">
        <v>0.997</v>
      </c>
      <c r="L999" s="40">
        <f t="shared" si="15"/>
        <v>0.98628991764489093</v>
      </c>
    </row>
    <row r="1000" spans="11:12" x14ac:dyDescent="0.3">
      <c r="K1000" s="28">
        <v>0.998</v>
      </c>
      <c r="L1000" s="40">
        <f t="shared" si="15"/>
        <v>0.98635541260986359</v>
      </c>
    </row>
    <row r="1001" spans="11:12" x14ac:dyDescent="0.3">
      <c r="K1001" s="28">
        <v>0.999</v>
      </c>
      <c r="L1001" s="40">
        <f t="shared" si="15"/>
        <v>0.98642058771021113</v>
      </c>
    </row>
    <row r="1002" spans="11:12" x14ac:dyDescent="0.3">
      <c r="K1002" s="28">
        <v>1</v>
      </c>
      <c r="L1002" s="40">
        <f t="shared" si="15"/>
        <v>0.98648548126220703</v>
      </c>
    </row>
    <row r="1003" spans="11:12" x14ac:dyDescent="0.3">
      <c r="K1003" s="28">
        <v>1.0010000000000001</v>
      </c>
      <c r="L1003" s="40">
        <f t="shared" si="15"/>
        <v>0.98655013459978869</v>
      </c>
    </row>
    <row r="1004" spans="11:12" x14ac:dyDescent="0.3">
      <c r="K1004" s="28">
        <v>1.002</v>
      </c>
      <c r="L1004" s="40">
        <f t="shared" si="15"/>
        <v>0.98661444875902859</v>
      </c>
    </row>
    <row r="1005" spans="11:12" x14ac:dyDescent="0.3">
      <c r="K1005" s="28">
        <v>1.0030000000000001</v>
      </c>
      <c r="L1005" s="40">
        <f t="shared" si="15"/>
        <v>0.98667848425603888</v>
      </c>
    </row>
    <row r="1006" spans="11:12" x14ac:dyDescent="0.3">
      <c r="K1006" s="28">
        <v>1.004</v>
      </c>
      <c r="L1006" s="40">
        <f t="shared" si="15"/>
        <v>0.98674224200169702</v>
      </c>
    </row>
    <row r="1007" spans="11:12" x14ac:dyDescent="0.3">
      <c r="K1007" s="28">
        <v>1.0050000000000001</v>
      </c>
      <c r="L1007" s="40">
        <f t="shared" si="15"/>
        <v>0.98680578251224038</v>
      </c>
    </row>
    <row r="1008" spans="11:12" x14ac:dyDescent="0.3">
      <c r="K1008" s="28">
        <v>1.006</v>
      </c>
      <c r="L1008" s="40">
        <f t="shared" si="15"/>
        <v>0.98686901729195009</v>
      </c>
    </row>
    <row r="1009" spans="11:12" x14ac:dyDescent="0.3">
      <c r="K1009" s="28">
        <v>1.0070000000000001</v>
      </c>
      <c r="L1009" s="40">
        <f t="shared" si="15"/>
        <v>0.98693197705438296</v>
      </c>
    </row>
    <row r="1010" spans="11:12" x14ac:dyDescent="0.3">
      <c r="K1010" s="28">
        <v>1.008</v>
      </c>
      <c r="L1010" s="40">
        <f t="shared" si="15"/>
        <v>0.98699466271096969</v>
      </c>
    </row>
    <row r="1011" spans="11:12" x14ac:dyDescent="0.3">
      <c r="K1011" s="28">
        <v>1.0090000000000001</v>
      </c>
      <c r="L1011" s="40">
        <f t="shared" si="15"/>
        <v>0.98705706772232582</v>
      </c>
    </row>
    <row r="1012" spans="11:12" x14ac:dyDescent="0.3">
      <c r="K1012" s="28">
        <v>1.01</v>
      </c>
      <c r="L1012" s="40">
        <f t="shared" si="15"/>
        <v>0.98711918615354233</v>
      </c>
    </row>
    <row r="1013" spans="11:12" x14ac:dyDescent="0.3">
      <c r="K1013" s="28">
        <v>1.0110000000000001</v>
      </c>
      <c r="L1013" s="40">
        <f t="shared" si="15"/>
        <v>0.98718109682027577</v>
      </c>
    </row>
    <row r="1014" spans="11:12" x14ac:dyDescent="0.3">
      <c r="K1014" s="28">
        <v>1.012</v>
      </c>
      <c r="L1014" s="40">
        <f t="shared" si="15"/>
        <v>0.98724267788155173</v>
      </c>
    </row>
    <row r="1015" spans="11:12" x14ac:dyDescent="0.3">
      <c r="K1015" s="28">
        <v>1.0130000000000001</v>
      </c>
      <c r="L1015" s="40">
        <f t="shared" si="15"/>
        <v>0.9873039307086926</v>
      </c>
    </row>
    <row r="1016" spans="11:12" x14ac:dyDescent="0.3">
      <c r="K1016" s="28">
        <v>1.014</v>
      </c>
      <c r="L1016" s="40">
        <f t="shared" si="15"/>
        <v>0.98736503548638199</v>
      </c>
    </row>
    <row r="1017" spans="11:12" x14ac:dyDescent="0.3">
      <c r="K1017" s="28">
        <v>1.0150000000000001</v>
      </c>
      <c r="L1017" s="40">
        <f t="shared" si="15"/>
        <v>0.98742584457445171</v>
      </c>
    </row>
    <row r="1018" spans="11:12" x14ac:dyDescent="0.3">
      <c r="K1018" s="28">
        <v>1.016</v>
      </c>
      <c r="L1018" s="40">
        <f t="shared" si="15"/>
        <v>0.98748635934400952</v>
      </c>
    </row>
    <row r="1019" spans="11:12" x14ac:dyDescent="0.3">
      <c r="K1019" s="28">
        <v>1.0170000000000001</v>
      </c>
      <c r="L1019" s="40">
        <f t="shared" si="15"/>
        <v>0.98754661096847518</v>
      </c>
    </row>
    <row r="1020" spans="11:12" x14ac:dyDescent="0.3">
      <c r="K1020" s="28">
        <v>1.018</v>
      </c>
      <c r="L1020" s="40">
        <f t="shared" si="15"/>
        <v>0.98760663062145537</v>
      </c>
    </row>
    <row r="1021" spans="11:12" x14ac:dyDescent="0.3">
      <c r="K1021" s="28">
        <v>1.0190000000000001</v>
      </c>
      <c r="L1021" s="40">
        <f t="shared" si="15"/>
        <v>0.98766637497052678</v>
      </c>
    </row>
    <row r="1022" spans="11:12" x14ac:dyDescent="0.3">
      <c r="K1022" s="28">
        <v>1.02</v>
      </c>
      <c r="L1022" s="40">
        <f t="shared" si="15"/>
        <v>0.98772583164280292</v>
      </c>
    </row>
    <row r="1023" spans="11:12" x14ac:dyDescent="0.3">
      <c r="K1023" s="28">
        <v>1.0210000000000001</v>
      </c>
      <c r="L1023" s="40">
        <f t="shared" si="15"/>
        <v>0.98778509203787856</v>
      </c>
    </row>
    <row r="1024" spans="11:12" x14ac:dyDescent="0.3">
      <c r="K1024" s="28">
        <v>1.022</v>
      </c>
      <c r="L1024" s="40">
        <f t="shared" si="15"/>
        <v>0.98784409552919905</v>
      </c>
    </row>
    <row r="1025" spans="11:12" x14ac:dyDescent="0.3">
      <c r="K1025" s="28">
        <v>1.0230000000000001</v>
      </c>
      <c r="L1025" s="40">
        <f t="shared" si="15"/>
        <v>0.98790272366424925</v>
      </c>
    </row>
    <row r="1026" spans="11:12" x14ac:dyDescent="0.3">
      <c r="K1026" s="28">
        <v>1.024</v>
      </c>
      <c r="L1026" s="40">
        <f t="shared" si="15"/>
        <v>0.98796121561783368</v>
      </c>
    </row>
    <row r="1027" spans="11:12" x14ac:dyDescent="0.3">
      <c r="K1027" s="28">
        <v>1.0249999999999999</v>
      </c>
      <c r="L1027" s="40">
        <f t="shared" ref="L1027:L1090" si="16">cubic_Spline($A$2:$A$152,$B$2:$B$152,K1027)</f>
        <v>0.98801942313520785</v>
      </c>
    </row>
    <row r="1028" spans="11:12" x14ac:dyDescent="0.3">
      <c r="K1028" s="28">
        <v>1.026</v>
      </c>
      <c r="L1028" s="40">
        <f t="shared" si="16"/>
        <v>0.9880773767753257</v>
      </c>
    </row>
    <row r="1029" spans="11:12" x14ac:dyDescent="0.3">
      <c r="K1029" s="28">
        <v>1.0269999999999999</v>
      </c>
      <c r="L1029" s="40">
        <f t="shared" si="16"/>
        <v>0.98813504749233771</v>
      </c>
    </row>
    <row r="1030" spans="11:12" x14ac:dyDescent="0.3">
      <c r="K1030" s="28">
        <v>1.028</v>
      </c>
      <c r="L1030" s="40">
        <f t="shared" si="16"/>
        <v>0.98819251054887103</v>
      </c>
    </row>
    <row r="1031" spans="11:12" x14ac:dyDescent="0.3">
      <c r="K1031" s="28">
        <v>1.0289999999999999</v>
      </c>
      <c r="L1031" s="40">
        <f t="shared" si="16"/>
        <v>0.98824970709671855</v>
      </c>
    </row>
    <row r="1032" spans="11:12" x14ac:dyDescent="0.3">
      <c r="K1032" s="28">
        <v>1.03</v>
      </c>
      <c r="L1032" s="40">
        <f t="shared" si="16"/>
        <v>0.98830666935656275</v>
      </c>
    </row>
    <row r="1033" spans="11:12" x14ac:dyDescent="0.3">
      <c r="K1033" s="28">
        <v>1.0309999999999999</v>
      </c>
      <c r="L1033" s="40">
        <f t="shared" si="16"/>
        <v>0.9883633590892158</v>
      </c>
    </row>
    <row r="1034" spans="11:12" x14ac:dyDescent="0.3">
      <c r="K1034" s="28">
        <v>1.032</v>
      </c>
      <c r="L1034" s="40">
        <f t="shared" si="16"/>
        <v>0.98841979969453431</v>
      </c>
    </row>
    <row r="1035" spans="11:12" x14ac:dyDescent="0.3">
      <c r="K1035" s="28">
        <v>1.0329999999999999</v>
      </c>
      <c r="L1035" s="40">
        <f t="shared" si="16"/>
        <v>0.98847593253473764</v>
      </c>
    </row>
    <row r="1036" spans="11:12" x14ac:dyDescent="0.3">
      <c r="K1036" s="28">
        <v>1.034</v>
      </c>
      <c r="L1036" s="40">
        <f t="shared" si="16"/>
        <v>0.98853187778562024</v>
      </c>
    </row>
    <row r="1037" spans="11:12" x14ac:dyDescent="0.3">
      <c r="K1037" s="28">
        <v>1.0349999999999999</v>
      </c>
      <c r="L1037" s="40">
        <f t="shared" si="16"/>
        <v>0.98858760661183542</v>
      </c>
    </row>
    <row r="1038" spans="11:12" x14ac:dyDescent="0.3">
      <c r="K1038" s="28">
        <v>1.036</v>
      </c>
      <c r="L1038" s="40">
        <f t="shared" si="16"/>
        <v>0.98864309017789587</v>
      </c>
    </row>
    <row r="1039" spans="11:12" x14ac:dyDescent="0.3">
      <c r="K1039" s="28">
        <v>1.0369999999999999</v>
      </c>
      <c r="L1039" s="40">
        <f t="shared" si="16"/>
        <v>0.98869826984581377</v>
      </c>
    </row>
    <row r="1040" spans="11:12" x14ac:dyDescent="0.3">
      <c r="K1040" s="28">
        <v>1.038</v>
      </c>
      <c r="L1040" s="40">
        <f t="shared" si="16"/>
        <v>0.98875325089071497</v>
      </c>
    </row>
    <row r="1041" spans="11:12" x14ac:dyDescent="0.3">
      <c r="K1041" s="28">
        <v>1.0389999999999999</v>
      </c>
      <c r="L1041" s="40">
        <f t="shared" si="16"/>
        <v>0.98880797467457759</v>
      </c>
    </row>
    <row r="1042" spans="11:12" x14ac:dyDescent="0.3">
      <c r="K1042" s="28">
        <v>1.04</v>
      </c>
      <c r="L1042" s="40">
        <f t="shared" si="16"/>
        <v>0.98886247408687677</v>
      </c>
    </row>
    <row r="1043" spans="11:12" x14ac:dyDescent="0.3">
      <c r="K1043" s="28">
        <v>1.0409999999999999</v>
      </c>
      <c r="L1043" s="40">
        <f t="shared" si="16"/>
        <v>0.98891668632405116</v>
      </c>
    </row>
    <row r="1044" spans="11:12" x14ac:dyDescent="0.3">
      <c r="K1044" s="28">
        <v>1.042</v>
      </c>
      <c r="L1044" s="40">
        <f t="shared" si="16"/>
        <v>0.98897071883798104</v>
      </c>
    </row>
    <row r="1045" spans="11:12" x14ac:dyDescent="0.3">
      <c r="K1045" s="28">
        <v>1.0429999999999999</v>
      </c>
      <c r="L1045" s="40">
        <f t="shared" si="16"/>
        <v>0.98902445351767687</v>
      </c>
    </row>
    <row r="1046" spans="11:12" x14ac:dyDescent="0.3">
      <c r="K1046" s="28">
        <v>1.044</v>
      </c>
      <c r="L1046" s="40">
        <f t="shared" si="16"/>
        <v>0.9890780106703867</v>
      </c>
    </row>
    <row r="1047" spans="11:12" x14ac:dyDescent="0.3">
      <c r="K1047" s="28">
        <v>1.0449999999999999</v>
      </c>
      <c r="L1047" s="40">
        <f t="shared" si="16"/>
        <v>0.98913130198755084</v>
      </c>
    </row>
    <row r="1048" spans="11:12" x14ac:dyDescent="0.3">
      <c r="K1048" s="28">
        <v>1.046</v>
      </c>
      <c r="L1048" s="40">
        <f t="shared" si="16"/>
        <v>0.98918435836976737</v>
      </c>
    </row>
    <row r="1049" spans="11:12" x14ac:dyDescent="0.3">
      <c r="K1049" s="28">
        <v>1.0469999999999999</v>
      </c>
      <c r="L1049" s="40">
        <f t="shared" si="16"/>
        <v>0.98923715111281485</v>
      </c>
    </row>
    <row r="1050" spans="11:12" x14ac:dyDescent="0.3">
      <c r="K1050" s="28">
        <v>1.048</v>
      </c>
      <c r="L1050" s="40">
        <f t="shared" si="16"/>
        <v>0.98928977072209268</v>
      </c>
    </row>
    <row r="1051" spans="11:12" x14ac:dyDescent="0.3">
      <c r="K1051" s="28">
        <v>1.0489999999999999</v>
      </c>
      <c r="L1051" s="40">
        <f t="shared" si="16"/>
        <v>0.98934212143812095</v>
      </c>
    </row>
    <row r="1052" spans="11:12" x14ac:dyDescent="0.3">
      <c r="K1052" s="28">
        <v>1.05</v>
      </c>
      <c r="L1052" s="40">
        <f t="shared" si="16"/>
        <v>0.98939425904908118</v>
      </c>
    </row>
    <row r="1053" spans="11:12" x14ac:dyDescent="0.3">
      <c r="K1053" s="28">
        <v>1.0509999999999999</v>
      </c>
      <c r="L1053" s="40">
        <f t="shared" si="16"/>
        <v>0.98944613933604653</v>
      </c>
    </row>
    <row r="1054" spans="11:12" x14ac:dyDescent="0.3">
      <c r="K1054" s="28">
        <v>1.052</v>
      </c>
      <c r="L1054" s="40">
        <f t="shared" si="16"/>
        <v>0.98949785050384054</v>
      </c>
    </row>
    <row r="1055" spans="11:12" x14ac:dyDescent="0.3">
      <c r="K1055" s="28">
        <v>1.0529999999999999</v>
      </c>
      <c r="L1055" s="40">
        <f t="shared" si="16"/>
        <v>0.98954921445851352</v>
      </c>
    </row>
    <row r="1056" spans="11:12" x14ac:dyDescent="0.3">
      <c r="K1056" s="28">
        <v>1.054</v>
      </c>
      <c r="L1056" s="40">
        <f t="shared" si="16"/>
        <v>0.98960047033830678</v>
      </c>
    </row>
    <row r="1057" spans="11:12" x14ac:dyDescent="0.3">
      <c r="K1057" s="28">
        <v>1.0549999999999999</v>
      </c>
      <c r="L1057" s="40">
        <f t="shared" si="16"/>
        <v>0.98965146985169505</v>
      </c>
    </row>
    <row r="1058" spans="11:12" x14ac:dyDescent="0.3">
      <c r="K1058" s="28">
        <v>1.056</v>
      </c>
      <c r="L1058" s="40">
        <f t="shared" si="16"/>
        <v>0.98970224352096592</v>
      </c>
    </row>
    <row r="1059" spans="11:12" x14ac:dyDescent="0.3">
      <c r="K1059" s="28">
        <v>1.0569999999999999</v>
      </c>
      <c r="L1059" s="40">
        <f t="shared" si="16"/>
        <v>0.98975276226359121</v>
      </c>
    </row>
    <row r="1060" spans="11:12" x14ac:dyDescent="0.3">
      <c r="K1060" s="28">
        <v>1.0580000000000001</v>
      </c>
      <c r="L1060" s="40">
        <f t="shared" si="16"/>
        <v>0.9898030864043299</v>
      </c>
    </row>
    <row r="1061" spans="11:12" x14ac:dyDescent="0.3">
      <c r="K1061" s="28">
        <v>1.0589999999999999</v>
      </c>
      <c r="L1061" s="40">
        <f t="shared" si="16"/>
        <v>0.98985317195946154</v>
      </c>
    </row>
    <row r="1062" spans="11:12" x14ac:dyDescent="0.3">
      <c r="K1062" s="28">
        <v>1.06</v>
      </c>
      <c r="L1062" s="40">
        <f t="shared" si="16"/>
        <v>0.98990303739393726</v>
      </c>
    </row>
    <row r="1063" spans="11:12" x14ac:dyDescent="0.3">
      <c r="K1063" s="28">
        <v>1.0609999999999999</v>
      </c>
      <c r="L1063" s="40">
        <f t="shared" si="16"/>
        <v>0.98995271074447611</v>
      </c>
    </row>
    <row r="1064" spans="11:12" x14ac:dyDescent="0.3">
      <c r="K1064" s="28">
        <v>1.0620000000000001</v>
      </c>
      <c r="L1064" s="40">
        <f t="shared" si="16"/>
        <v>0.99000210324073745</v>
      </c>
    </row>
    <row r="1065" spans="11:12" x14ac:dyDescent="0.3">
      <c r="K1065" s="28">
        <v>1.0629999999999999</v>
      </c>
      <c r="L1065" s="40">
        <f t="shared" si="16"/>
        <v>0.99005127548222205</v>
      </c>
    </row>
    <row r="1066" spans="11:12" x14ac:dyDescent="0.3">
      <c r="K1066" s="28">
        <v>1.0640000000000001</v>
      </c>
      <c r="L1066" s="40">
        <f t="shared" si="16"/>
        <v>0.990100288068121</v>
      </c>
    </row>
    <row r="1067" spans="11:12" x14ac:dyDescent="0.3">
      <c r="K1067" s="28">
        <v>1.0649999999999999</v>
      </c>
      <c r="L1067" s="40">
        <f t="shared" si="16"/>
        <v>0.99014905258642238</v>
      </c>
    </row>
    <row r="1068" spans="11:12" x14ac:dyDescent="0.3">
      <c r="K1068" s="28">
        <v>1.0660000000000001</v>
      </c>
      <c r="L1068" s="40">
        <f t="shared" si="16"/>
        <v>0.99019762963661084</v>
      </c>
    </row>
    <row r="1069" spans="11:12" x14ac:dyDescent="0.3">
      <c r="K1069" s="28">
        <v>1.0669999999999999</v>
      </c>
      <c r="L1069" s="40">
        <f t="shared" si="16"/>
        <v>0.99024593080639101</v>
      </c>
    </row>
    <row r="1070" spans="11:12" x14ac:dyDescent="0.3">
      <c r="K1070" s="28">
        <v>1.0680000000000001</v>
      </c>
      <c r="L1070" s="40">
        <f t="shared" si="16"/>
        <v>0.99029406139887566</v>
      </c>
    </row>
    <row r="1071" spans="11:12" x14ac:dyDescent="0.3">
      <c r="K1071" s="28">
        <v>1.069</v>
      </c>
      <c r="L1071" s="40">
        <f t="shared" si="16"/>
        <v>0.99034195535348057</v>
      </c>
    </row>
    <row r="1072" spans="11:12" x14ac:dyDescent="0.3">
      <c r="K1072" s="28">
        <v>1.07</v>
      </c>
      <c r="L1072" s="40">
        <f t="shared" si="16"/>
        <v>0.99038963340255637</v>
      </c>
    </row>
    <row r="1073" spans="11:12" x14ac:dyDescent="0.3">
      <c r="K1073" s="28">
        <v>1.071</v>
      </c>
      <c r="L1073" s="40">
        <f t="shared" si="16"/>
        <v>0.99043715081884398</v>
      </c>
    </row>
    <row r="1074" spans="11:12" x14ac:dyDescent="0.3">
      <c r="K1074" s="28">
        <v>1.0720000000000001</v>
      </c>
      <c r="L1074" s="40">
        <f t="shared" si="16"/>
        <v>0.99048439706895042</v>
      </c>
    </row>
    <row r="1075" spans="11:12" x14ac:dyDescent="0.3">
      <c r="K1075" s="28">
        <v>1.073</v>
      </c>
      <c r="L1075" s="40">
        <f t="shared" si="16"/>
        <v>0.99053143249241649</v>
      </c>
    </row>
    <row r="1076" spans="11:12" x14ac:dyDescent="0.3">
      <c r="K1076" s="28">
        <v>1.0740000000000001</v>
      </c>
      <c r="L1076" s="40">
        <f t="shared" si="16"/>
        <v>0.99057825782384634</v>
      </c>
    </row>
    <row r="1077" spans="11:12" x14ac:dyDescent="0.3">
      <c r="K1077" s="28">
        <v>1.075</v>
      </c>
      <c r="L1077" s="40">
        <f t="shared" si="16"/>
        <v>0.99062490360055366</v>
      </c>
    </row>
    <row r="1078" spans="11:12" x14ac:dyDescent="0.3">
      <c r="K1078" s="28">
        <v>1.0760000000000001</v>
      </c>
      <c r="L1078" s="40">
        <f t="shared" si="16"/>
        <v>0.99067134075510066</v>
      </c>
    </row>
    <row r="1079" spans="11:12" x14ac:dyDescent="0.3">
      <c r="K1079" s="28">
        <v>1.077</v>
      </c>
      <c r="L1079" s="40">
        <f t="shared" si="16"/>
        <v>0.99071757002220751</v>
      </c>
    </row>
    <row r="1080" spans="11:12" x14ac:dyDescent="0.3">
      <c r="K1080" s="28">
        <v>1.0780000000000001</v>
      </c>
      <c r="L1080" s="40">
        <f t="shared" si="16"/>
        <v>0.99076357723573583</v>
      </c>
    </row>
    <row r="1081" spans="11:12" x14ac:dyDescent="0.3">
      <c r="K1081" s="28">
        <v>1.079</v>
      </c>
      <c r="L1081" s="40">
        <f t="shared" si="16"/>
        <v>0.99080937803153779</v>
      </c>
    </row>
    <row r="1082" spans="11:12" x14ac:dyDescent="0.3">
      <c r="K1082" s="28">
        <v>1.08</v>
      </c>
      <c r="L1082" s="40">
        <f t="shared" si="16"/>
        <v>0.99085495624638864</v>
      </c>
    </row>
    <row r="1083" spans="11:12" x14ac:dyDescent="0.3">
      <c r="K1083" s="28">
        <v>1.081</v>
      </c>
      <c r="L1083" s="40">
        <f t="shared" si="16"/>
        <v>0.99090037332803682</v>
      </c>
    </row>
    <row r="1084" spans="11:12" x14ac:dyDescent="0.3">
      <c r="K1084" s="28">
        <v>1.0820000000000001</v>
      </c>
      <c r="L1084" s="40">
        <f t="shared" si="16"/>
        <v>0.99094558649879549</v>
      </c>
    </row>
    <row r="1085" spans="11:12" x14ac:dyDescent="0.3">
      <c r="K1085" s="28">
        <v>1.083</v>
      </c>
      <c r="L1085" s="40">
        <f t="shared" si="16"/>
        <v>0.99099053719108898</v>
      </c>
    </row>
    <row r="1086" spans="11:12" x14ac:dyDescent="0.3">
      <c r="K1086" s="28">
        <v>1.0840000000000001</v>
      </c>
      <c r="L1086" s="40">
        <f t="shared" si="16"/>
        <v>0.99103534565099771</v>
      </c>
    </row>
    <row r="1087" spans="11:12" x14ac:dyDescent="0.3">
      <c r="K1087" s="28">
        <v>1.085</v>
      </c>
      <c r="L1087" s="40">
        <f t="shared" si="16"/>
        <v>0.99107992350871588</v>
      </c>
    </row>
    <row r="1088" spans="11:12" x14ac:dyDescent="0.3">
      <c r="K1088" s="28">
        <v>1.0860000000000001</v>
      </c>
      <c r="L1088" s="40">
        <f t="shared" si="16"/>
        <v>0.99112430160362697</v>
      </c>
    </row>
    <row r="1089" spans="11:12" x14ac:dyDescent="0.3">
      <c r="K1089" s="28">
        <v>1.087</v>
      </c>
      <c r="L1089" s="40">
        <f t="shared" si="16"/>
        <v>0.99116848097263066</v>
      </c>
    </row>
    <row r="1090" spans="11:12" x14ac:dyDescent="0.3">
      <c r="K1090" s="28">
        <v>1.0880000000000001</v>
      </c>
      <c r="L1090" s="40">
        <f t="shared" si="16"/>
        <v>0.9912124775540827</v>
      </c>
    </row>
    <row r="1091" spans="11:12" x14ac:dyDescent="0.3">
      <c r="K1091" s="28">
        <v>1.089</v>
      </c>
      <c r="L1091" s="40">
        <f t="shared" ref="L1091:L1154" si="17">cubic_Spline($A$2:$A$152,$B$2:$B$152,K1091)</f>
        <v>0.99125627003311312</v>
      </c>
    </row>
    <row r="1092" spans="11:12" x14ac:dyDescent="0.3">
      <c r="K1092" s="28">
        <v>1.0900000000000001</v>
      </c>
      <c r="L1092" s="40">
        <f t="shared" si="17"/>
        <v>0.99129989521475359</v>
      </c>
    </row>
    <row r="1093" spans="11:12" x14ac:dyDescent="0.3">
      <c r="K1093" s="28">
        <v>1.091</v>
      </c>
      <c r="L1093" s="40">
        <f t="shared" si="17"/>
        <v>0.99134328404007632</v>
      </c>
    </row>
    <row r="1094" spans="11:12" x14ac:dyDescent="0.3">
      <c r="K1094" s="28">
        <v>1.0920000000000001</v>
      </c>
      <c r="L1094" s="40">
        <f t="shared" si="17"/>
        <v>0.99138647876922525</v>
      </c>
    </row>
    <row r="1095" spans="11:12" x14ac:dyDescent="0.3">
      <c r="K1095" s="28">
        <v>1.093</v>
      </c>
      <c r="L1095" s="40">
        <f t="shared" si="17"/>
        <v>0.9914294798837151</v>
      </c>
    </row>
    <row r="1096" spans="11:12" x14ac:dyDescent="0.3">
      <c r="K1096" s="28">
        <v>1.0940000000000001</v>
      </c>
      <c r="L1096" s="40">
        <f t="shared" si="17"/>
        <v>0.99147228786480102</v>
      </c>
    </row>
    <row r="1097" spans="11:12" x14ac:dyDescent="0.3">
      <c r="K1097" s="28">
        <v>1.095</v>
      </c>
      <c r="L1097" s="40">
        <f t="shared" si="17"/>
        <v>0.99151493299640692</v>
      </c>
    </row>
    <row r="1098" spans="11:12" x14ac:dyDescent="0.3">
      <c r="K1098" s="28">
        <v>1.0960000000000001</v>
      </c>
      <c r="L1098" s="40">
        <f t="shared" si="17"/>
        <v>0.99155738595772214</v>
      </c>
    </row>
    <row r="1099" spans="11:12" x14ac:dyDescent="0.3">
      <c r="K1099" s="28">
        <v>1.097</v>
      </c>
      <c r="L1099" s="40">
        <f t="shared" si="17"/>
        <v>0.99159961742777802</v>
      </c>
    </row>
    <row r="1100" spans="11:12" x14ac:dyDescent="0.3">
      <c r="K1100" s="28">
        <v>1.0980000000000001</v>
      </c>
      <c r="L1100" s="40">
        <f t="shared" si="17"/>
        <v>0.99164167259169622</v>
      </c>
    </row>
    <row r="1101" spans="11:12" x14ac:dyDescent="0.3">
      <c r="K1101" s="28">
        <v>1.099</v>
      </c>
      <c r="L1101" s="40">
        <f t="shared" si="17"/>
        <v>0.99168353702964263</v>
      </c>
    </row>
    <row r="1102" spans="11:12" x14ac:dyDescent="0.3">
      <c r="K1102" s="28">
        <v>1.1000000000000001</v>
      </c>
      <c r="L1102" s="40">
        <f t="shared" si="17"/>
        <v>0.99172522511024652</v>
      </c>
    </row>
    <row r="1103" spans="11:12" x14ac:dyDescent="0.3">
      <c r="K1103" s="28">
        <v>1.101</v>
      </c>
      <c r="L1103" s="40">
        <f t="shared" si="17"/>
        <v>0.99176667091984683</v>
      </c>
    </row>
    <row r="1104" spans="11:12" x14ac:dyDescent="0.3">
      <c r="K1104" s="28">
        <v>1.1020000000000001</v>
      </c>
      <c r="L1104" s="40">
        <f t="shared" si="17"/>
        <v>0.99180798754217558</v>
      </c>
    </row>
    <row r="1105" spans="11:12" x14ac:dyDescent="0.3">
      <c r="K1105" s="28">
        <v>1.103</v>
      </c>
      <c r="L1105" s="40">
        <f t="shared" si="17"/>
        <v>0.99184905673897739</v>
      </c>
    </row>
    <row r="1106" spans="11:12" x14ac:dyDescent="0.3">
      <c r="K1106" s="28">
        <v>1.1040000000000001</v>
      </c>
      <c r="L1106" s="40">
        <f t="shared" si="17"/>
        <v>0.99188999869032479</v>
      </c>
    </row>
    <row r="1107" spans="11:12" x14ac:dyDescent="0.3">
      <c r="K1107" s="28">
        <v>1.105</v>
      </c>
      <c r="L1107" s="40">
        <f t="shared" si="17"/>
        <v>0.99193072496036949</v>
      </c>
    </row>
    <row r="1108" spans="11:12" x14ac:dyDescent="0.3">
      <c r="K1108" s="28">
        <v>1.1060000000000001</v>
      </c>
      <c r="L1108" s="40">
        <f t="shared" si="17"/>
        <v>0.99197129612478974</v>
      </c>
    </row>
    <row r="1109" spans="11:12" x14ac:dyDescent="0.3">
      <c r="K1109" s="28">
        <v>1.107</v>
      </c>
      <c r="L1109" s="40">
        <f t="shared" si="17"/>
        <v>0.99201165354981791</v>
      </c>
    </row>
    <row r="1110" spans="11:12" x14ac:dyDescent="0.3">
      <c r="K1110" s="28">
        <v>1.1080000000000001</v>
      </c>
      <c r="L1110" s="40">
        <f t="shared" si="17"/>
        <v>0.99205184291009418</v>
      </c>
    </row>
    <row r="1111" spans="11:12" x14ac:dyDescent="0.3">
      <c r="K1111" s="28">
        <v>1.109</v>
      </c>
      <c r="L1111" s="40">
        <f t="shared" si="17"/>
        <v>0.99209183537414725</v>
      </c>
    </row>
    <row r="1112" spans="11:12" x14ac:dyDescent="0.3">
      <c r="K1112" s="28">
        <v>1.1100000000000001</v>
      </c>
      <c r="L1112" s="40">
        <f t="shared" si="17"/>
        <v>0.99213166113395235</v>
      </c>
    </row>
    <row r="1113" spans="11:12" x14ac:dyDescent="0.3">
      <c r="K1113" s="28">
        <v>1.111</v>
      </c>
      <c r="L1113" s="40">
        <f t="shared" si="17"/>
        <v>0.99217131634648548</v>
      </c>
    </row>
    <row r="1114" spans="11:12" x14ac:dyDescent="0.3">
      <c r="K1114" s="28">
        <v>1.1120000000000001</v>
      </c>
      <c r="L1114" s="40">
        <f t="shared" si="17"/>
        <v>0.99221079214742336</v>
      </c>
    </row>
    <row r="1115" spans="11:12" x14ac:dyDescent="0.3">
      <c r="K1115" s="28">
        <v>1.113</v>
      </c>
      <c r="L1115" s="40">
        <f t="shared" si="17"/>
        <v>0.99225002957350583</v>
      </c>
    </row>
    <row r="1116" spans="11:12" x14ac:dyDescent="0.3">
      <c r="K1116" s="28">
        <v>1.1140000000000001</v>
      </c>
      <c r="L1116" s="40">
        <f t="shared" si="17"/>
        <v>0.99228908887052847</v>
      </c>
    </row>
    <row r="1117" spans="11:12" x14ac:dyDescent="0.3">
      <c r="K1117" s="28">
        <v>1.115</v>
      </c>
      <c r="L1117" s="40">
        <f t="shared" si="17"/>
        <v>0.99232806008692354</v>
      </c>
    </row>
    <row r="1118" spans="11:12" x14ac:dyDescent="0.3">
      <c r="K1118" s="28">
        <v>1.1160000000000001</v>
      </c>
      <c r="L1118" s="40">
        <f t="shared" si="17"/>
        <v>0.99236682465478987</v>
      </c>
    </row>
    <row r="1119" spans="11:12" x14ac:dyDescent="0.3">
      <c r="K1119" s="28">
        <v>1.117</v>
      </c>
      <c r="L1119" s="40">
        <f t="shared" si="17"/>
        <v>0.99240535341304104</v>
      </c>
    </row>
    <row r="1120" spans="11:12" x14ac:dyDescent="0.3">
      <c r="K1120" s="28">
        <v>1.1180000000000001</v>
      </c>
      <c r="L1120" s="40">
        <f t="shared" si="17"/>
        <v>0.99244376621247177</v>
      </c>
    </row>
    <row r="1121" spans="11:12" x14ac:dyDescent="0.3">
      <c r="K1121" s="28">
        <v>1.119</v>
      </c>
      <c r="L1121" s="40">
        <f t="shared" si="17"/>
        <v>0.99248198918848718</v>
      </c>
    </row>
    <row r="1122" spans="11:12" x14ac:dyDescent="0.3">
      <c r="K1122" s="28">
        <v>1.1200000000000001</v>
      </c>
      <c r="L1122" s="40">
        <f t="shared" si="17"/>
        <v>0.99252003769848152</v>
      </c>
    </row>
    <row r="1123" spans="11:12" x14ac:dyDescent="0.3">
      <c r="K1123" s="28">
        <v>1.121</v>
      </c>
      <c r="L1123" s="40">
        <f t="shared" si="17"/>
        <v>0.99255790386944109</v>
      </c>
    </row>
    <row r="1124" spans="11:12" x14ac:dyDescent="0.3">
      <c r="K1124" s="28">
        <v>1.1220000000000001</v>
      </c>
      <c r="L1124" s="40">
        <f t="shared" si="17"/>
        <v>0.99259565676074435</v>
      </c>
    </row>
    <row r="1125" spans="11:12" x14ac:dyDescent="0.3">
      <c r="K1125" s="28">
        <v>1.123</v>
      </c>
      <c r="L1125" s="40">
        <f t="shared" si="17"/>
        <v>0.992633118313624</v>
      </c>
    </row>
    <row r="1126" spans="11:12" x14ac:dyDescent="0.3">
      <c r="K1126" s="28">
        <v>1.1240000000000001</v>
      </c>
      <c r="L1126" s="40">
        <f t="shared" si="17"/>
        <v>0.99267046809695958</v>
      </c>
    </row>
    <row r="1127" spans="11:12" x14ac:dyDescent="0.3">
      <c r="K1127" s="28">
        <v>1.125</v>
      </c>
      <c r="L1127" s="40">
        <f t="shared" si="17"/>
        <v>0.99270767706367324</v>
      </c>
    </row>
    <row r="1128" spans="11:12" x14ac:dyDescent="0.3">
      <c r="K1128" s="28">
        <v>1.1260000000000001</v>
      </c>
      <c r="L1128" s="40">
        <f t="shared" si="17"/>
        <v>0.99274471616661697</v>
      </c>
    </row>
    <row r="1129" spans="11:12" x14ac:dyDescent="0.3">
      <c r="K1129" s="28">
        <v>1.127</v>
      </c>
      <c r="L1129" s="40">
        <f t="shared" si="17"/>
        <v>0.99278152655616936</v>
      </c>
    </row>
    <row r="1130" spans="11:12" x14ac:dyDescent="0.3">
      <c r="K1130" s="28">
        <v>1.1280000000000001</v>
      </c>
      <c r="L1130" s="40">
        <f t="shared" si="17"/>
        <v>0.99281822819690702</v>
      </c>
    </row>
    <row r="1131" spans="11:12" x14ac:dyDescent="0.3">
      <c r="K1131" s="28">
        <v>1.129</v>
      </c>
      <c r="L1131" s="40">
        <f t="shared" si="17"/>
        <v>0.99285473243686251</v>
      </c>
    </row>
    <row r="1132" spans="11:12" x14ac:dyDescent="0.3">
      <c r="K1132" s="28">
        <v>1.1300000000000001</v>
      </c>
      <c r="L1132" s="40">
        <f t="shared" si="17"/>
        <v>0.9928910700104967</v>
      </c>
    </row>
    <row r="1133" spans="11:12" x14ac:dyDescent="0.3">
      <c r="K1133" s="28">
        <v>1.131</v>
      </c>
      <c r="L1133" s="40">
        <f t="shared" si="17"/>
        <v>0.99292727113576507</v>
      </c>
    </row>
    <row r="1134" spans="11:12" x14ac:dyDescent="0.3">
      <c r="K1134" s="28">
        <v>1.1320000000000001</v>
      </c>
      <c r="L1134" s="40">
        <f t="shared" si="17"/>
        <v>0.9929633068026118</v>
      </c>
    </row>
    <row r="1135" spans="11:12" x14ac:dyDescent="0.3">
      <c r="K1135" s="28">
        <v>1.133</v>
      </c>
      <c r="L1135" s="40">
        <f t="shared" si="17"/>
        <v>0.99299905843142822</v>
      </c>
    </row>
    <row r="1136" spans="11:12" x14ac:dyDescent="0.3">
      <c r="K1136" s="28">
        <v>1.1340000000000001</v>
      </c>
      <c r="L1136" s="40">
        <f t="shared" si="17"/>
        <v>0.99303476507026622</v>
      </c>
    </row>
    <row r="1137" spans="11:12" x14ac:dyDescent="0.3">
      <c r="K1137" s="28">
        <v>1.135</v>
      </c>
      <c r="L1137" s="40">
        <f t="shared" si="17"/>
        <v>0.99307030813959118</v>
      </c>
    </row>
    <row r="1138" spans="11:12" x14ac:dyDescent="0.3">
      <c r="K1138" s="28">
        <v>1.1360000000000001</v>
      </c>
      <c r="L1138" s="40">
        <f t="shared" si="17"/>
        <v>0.9931056882690954</v>
      </c>
    </row>
    <row r="1139" spans="11:12" x14ac:dyDescent="0.3">
      <c r="K1139" s="28">
        <v>1.137</v>
      </c>
      <c r="L1139" s="40">
        <f t="shared" si="17"/>
        <v>0.99314084648367706</v>
      </c>
    </row>
    <row r="1140" spans="11:12" x14ac:dyDescent="0.3">
      <c r="K1140" s="28">
        <v>1.1380000000000001</v>
      </c>
      <c r="L1140" s="40">
        <f t="shared" si="17"/>
        <v>0.99317590262242572</v>
      </c>
    </row>
    <row r="1141" spans="11:12" x14ac:dyDescent="0.3">
      <c r="K1141" s="28">
        <v>1.139</v>
      </c>
      <c r="L1141" s="40">
        <f t="shared" si="17"/>
        <v>0.99321077535847557</v>
      </c>
    </row>
    <row r="1142" spans="11:12" x14ac:dyDescent="0.3">
      <c r="K1142" s="28">
        <v>1.1400000000000001</v>
      </c>
      <c r="L1142" s="40">
        <f t="shared" si="17"/>
        <v>0.99324547327912327</v>
      </c>
    </row>
    <row r="1143" spans="11:12" x14ac:dyDescent="0.3">
      <c r="K1143" s="28">
        <v>1.141</v>
      </c>
      <c r="L1143" s="40">
        <f t="shared" si="17"/>
        <v>0.99328002435101825</v>
      </c>
    </row>
    <row r="1144" spans="11:12" x14ac:dyDescent="0.3">
      <c r="K1144" s="28">
        <v>1.1420000000000001</v>
      </c>
      <c r="L1144" s="40">
        <f t="shared" si="17"/>
        <v>0.99331447589618493</v>
      </c>
    </row>
    <row r="1145" spans="11:12" x14ac:dyDescent="0.3">
      <c r="K1145" s="28">
        <v>1.143</v>
      </c>
      <c r="L1145" s="40">
        <f t="shared" si="17"/>
        <v>0.99334864976088066</v>
      </c>
    </row>
    <row r="1146" spans="11:12" x14ac:dyDescent="0.3">
      <c r="K1146" s="28">
        <v>1.1440000000000001</v>
      </c>
      <c r="L1146" s="40">
        <f t="shared" si="17"/>
        <v>0.9933827254190335</v>
      </c>
    </row>
    <row r="1147" spans="11:12" x14ac:dyDescent="0.3">
      <c r="K1147" s="28">
        <v>1.145</v>
      </c>
      <c r="L1147" s="40">
        <f t="shared" si="17"/>
        <v>0.99341664392626217</v>
      </c>
    </row>
    <row r="1148" spans="11:12" x14ac:dyDescent="0.3">
      <c r="K1148" s="28">
        <v>1.1460000000000001</v>
      </c>
      <c r="L1148" s="40">
        <f t="shared" si="17"/>
        <v>0.99345043574509373</v>
      </c>
    </row>
    <row r="1149" spans="11:12" x14ac:dyDescent="0.3">
      <c r="K1149" s="28">
        <v>1.147</v>
      </c>
      <c r="L1149" s="40">
        <f t="shared" si="17"/>
        <v>0.99348401212862048</v>
      </c>
    </row>
    <row r="1150" spans="11:12" x14ac:dyDescent="0.3">
      <c r="K1150" s="28">
        <v>1.1480000000000001</v>
      </c>
      <c r="L1150" s="40">
        <f t="shared" si="17"/>
        <v>0.99351747804527968</v>
      </c>
    </row>
    <row r="1151" spans="11:12" x14ac:dyDescent="0.3">
      <c r="K1151" s="28">
        <v>1.149</v>
      </c>
      <c r="L1151" s="40">
        <f t="shared" si="17"/>
        <v>0.99355077455046359</v>
      </c>
    </row>
    <row r="1152" spans="11:12" x14ac:dyDescent="0.3">
      <c r="K1152" s="28">
        <v>1.1500000000000001</v>
      </c>
      <c r="L1152" s="40">
        <f t="shared" si="17"/>
        <v>0.99358390311130695</v>
      </c>
    </row>
    <row r="1153" spans="11:12" x14ac:dyDescent="0.3">
      <c r="K1153" s="28">
        <v>1.151</v>
      </c>
      <c r="L1153" s="40">
        <f t="shared" si="17"/>
        <v>0.99361694029298075</v>
      </c>
    </row>
    <row r="1154" spans="11:12" x14ac:dyDescent="0.3">
      <c r="K1154" s="28">
        <v>1.1520000000000001</v>
      </c>
      <c r="L1154" s="40">
        <f t="shared" si="17"/>
        <v>0.99364976534373228</v>
      </c>
    </row>
    <row r="1155" spans="11:12" x14ac:dyDescent="0.3">
      <c r="K1155" s="28">
        <v>1.153</v>
      </c>
      <c r="L1155" s="40">
        <f t="shared" ref="L1155:L1218" si="18">cubic_Spline($A$2:$A$152,$B$2:$B$152,K1155)</f>
        <v>0.99368237892717859</v>
      </c>
    </row>
    <row r="1156" spans="11:12" x14ac:dyDescent="0.3">
      <c r="K1156" s="28">
        <v>1.1539999999999999</v>
      </c>
      <c r="L1156" s="40">
        <f t="shared" si="18"/>
        <v>0.99371496052066377</v>
      </c>
    </row>
    <row r="1157" spans="11:12" x14ac:dyDescent="0.3">
      <c r="K1157" s="28">
        <v>1.155</v>
      </c>
      <c r="L1157" s="40">
        <f t="shared" si="18"/>
        <v>0.99374736177632828</v>
      </c>
    </row>
    <row r="1158" spans="11:12" x14ac:dyDescent="0.3">
      <c r="K1158" s="28">
        <v>1.1559999999999999</v>
      </c>
      <c r="L1158" s="40">
        <f t="shared" si="18"/>
        <v>0.99377958335771777</v>
      </c>
    </row>
    <row r="1159" spans="11:12" x14ac:dyDescent="0.3">
      <c r="K1159" s="28">
        <v>1.157</v>
      </c>
      <c r="L1159" s="40">
        <f t="shared" si="18"/>
        <v>0.99381165573073338</v>
      </c>
    </row>
    <row r="1160" spans="11:12" x14ac:dyDescent="0.3">
      <c r="K1160" s="28">
        <v>1.1579999999999999</v>
      </c>
      <c r="L1160" s="40">
        <f t="shared" si="18"/>
        <v>0.99384360936134297</v>
      </c>
    </row>
    <row r="1161" spans="11:12" x14ac:dyDescent="0.3">
      <c r="K1161" s="28">
        <v>1.159</v>
      </c>
      <c r="L1161" s="40">
        <f t="shared" si="18"/>
        <v>0.99387540020962084</v>
      </c>
    </row>
    <row r="1162" spans="11:12" x14ac:dyDescent="0.3">
      <c r="K1162" s="28">
        <v>1.1599999999999999</v>
      </c>
      <c r="L1162" s="40">
        <f t="shared" si="18"/>
        <v>0.99390701511650592</v>
      </c>
    </row>
    <row r="1163" spans="11:12" x14ac:dyDescent="0.3">
      <c r="K1163" s="28">
        <v>1.161</v>
      </c>
      <c r="L1163" s="40">
        <f t="shared" si="18"/>
        <v>0.9939385628805617</v>
      </c>
    </row>
    <row r="1164" spans="11:12" x14ac:dyDescent="0.3">
      <c r="K1164" s="28">
        <v>1.1619999999999999</v>
      </c>
      <c r="L1164" s="40">
        <f t="shared" si="18"/>
        <v>0.9939699051053783</v>
      </c>
    </row>
    <row r="1165" spans="11:12" x14ac:dyDescent="0.3">
      <c r="K1165" s="28">
        <v>1.163</v>
      </c>
      <c r="L1165" s="40">
        <f t="shared" si="18"/>
        <v>0.99400104241043297</v>
      </c>
    </row>
    <row r="1166" spans="11:12" x14ac:dyDescent="0.3">
      <c r="K1166" s="28">
        <v>1.1639999999999999</v>
      </c>
      <c r="L1166" s="40">
        <f t="shared" si="18"/>
        <v>0.99403215422878777</v>
      </c>
    </row>
    <row r="1167" spans="11:12" x14ac:dyDescent="0.3">
      <c r="K1167" s="28">
        <v>1.165</v>
      </c>
      <c r="L1167" s="40">
        <f t="shared" si="18"/>
        <v>0.99406306236605135</v>
      </c>
    </row>
    <row r="1168" spans="11:12" x14ac:dyDescent="0.3">
      <c r="K1168" s="28">
        <v>1.1659999999999999</v>
      </c>
      <c r="L1168" s="40">
        <f t="shared" si="18"/>
        <v>0.99409382704618943</v>
      </c>
    </row>
    <row r="1169" spans="11:12" x14ac:dyDescent="0.3">
      <c r="K1169" s="28">
        <v>1.167</v>
      </c>
      <c r="L1169" s="40">
        <f t="shared" si="18"/>
        <v>0.99412444888855811</v>
      </c>
    </row>
    <row r="1170" spans="11:12" x14ac:dyDescent="0.3">
      <c r="K1170" s="28">
        <v>1.1679999999999999</v>
      </c>
      <c r="L1170" s="40">
        <f t="shared" si="18"/>
        <v>0.994154943413735</v>
      </c>
    </row>
    <row r="1171" spans="11:12" x14ac:dyDescent="0.3">
      <c r="K1171" s="28">
        <v>1.169</v>
      </c>
      <c r="L1171" s="40">
        <f t="shared" si="18"/>
        <v>0.99418528888931423</v>
      </c>
    </row>
    <row r="1172" spans="11:12" x14ac:dyDescent="0.3">
      <c r="K1172" s="28">
        <v>1.17</v>
      </c>
      <c r="L1172" s="40">
        <f t="shared" si="18"/>
        <v>0.99421546490665058</v>
      </c>
    </row>
    <row r="1173" spans="11:12" x14ac:dyDescent="0.3">
      <c r="K1173" s="28">
        <v>1.171</v>
      </c>
      <c r="L1173" s="40">
        <f t="shared" si="18"/>
        <v>0.99424555139274706</v>
      </c>
    </row>
    <row r="1174" spans="11:12" x14ac:dyDescent="0.3">
      <c r="K1174" s="28">
        <v>1.1719999999999999</v>
      </c>
      <c r="L1174" s="40">
        <f t="shared" si="18"/>
        <v>0.99427549795378245</v>
      </c>
    </row>
    <row r="1175" spans="11:12" x14ac:dyDescent="0.3">
      <c r="K1175" s="28">
        <v>1.173</v>
      </c>
      <c r="L1175" s="40">
        <f t="shared" si="18"/>
        <v>0.99430524542042653</v>
      </c>
    </row>
    <row r="1176" spans="11:12" x14ac:dyDescent="0.3">
      <c r="K1176" s="28">
        <v>1.1739999999999999</v>
      </c>
      <c r="L1176" s="40">
        <f t="shared" si="18"/>
        <v>0.99433491343694369</v>
      </c>
    </row>
    <row r="1177" spans="11:12" x14ac:dyDescent="0.3">
      <c r="K1177" s="28">
        <v>1.175</v>
      </c>
      <c r="L1177" s="40">
        <f t="shared" si="18"/>
        <v>0.99436441303174405</v>
      </c>
    </row>
    <row r="1178" spans="11:12" x14ac:dyDescent="0.3">
      <c r="K1178" s="28">
        <v>1.1759999999999999</v>
      </c>
      <c r="L1178" s="40">
        <f t="shared" si="18"/>
        <v>0.99439380424463264</v>
      </c>
    </row>
    <row r="1179" spans="11:12" x14ac:dyDescent="0.3">
      <c r="K1179" s="28">
        <v>1.177</v>
      </c>
      <c r="L1179" s="40">
        <f t="shared" si="18"/>
        <v>0.99442299810384061</v>
      </c>
    </row>
    <row r="1180" spans="11:12" x14ac:dyDescent="0.3">
      <c r="K1180" s="28">
        <v>1.1779999999999999</v>
      </c>
      <c r="L1180" s="40">
        <f t="shared" si="18"/>
        <v>0.99445211425390889</v>
      </c>
    </row>
    <row r="1181" spans="11:12" x14ac:dyDescent="0.3">
      <c r="K1181" s="28">
        <v>1.179</v>
      </c>
      <c r="L1181" s="40">
        <f t="shared" si="18"/>
        <v>0.99448106372304945</v>
      </c>
    </row>
    <row r="1182" spans="11:12" x14ac:dyDescent="0.3">
      <c r="K1182" s="28">
        <v>1.18</v>
      </c>
      <c r="L1182" s="40">
        <f t="shared" si="18"/>
        <v>0.99450984842839529</v>
      </c>
    </row>
    <row r="1183" spans="11:12" x14ac:dyDescent="0.3">
      <c r="K1183" s="28">
        <v>1.181</v>
      </c>
      <c r="L1183" s="40">
        <f t="shared" si="18"/>
        <v>0.99453855593977458</v>
      </c>
    </row>
    <row r="1184" spans="11:12" x14ac:dyDescent="0.3">
      <c r="K1184" s="28">
        <v>1.1819999999999999</v>
      </c>
      <c r="L1184" s="40">
        <f t="shared" si="18"/>
        <v>0.99456712828182814</v>
      </c>
    </row>
    <row r="1185" spans="11:12" x14ac:dyDescent="0.3">
      <c r="K1185" s="28">
        <v>1.1830000000000001</v>
      </c>
      <c r="L1185" s="40">
        <f t="shared" si="18"/>
        <v>0.99459550668884189</v>
      </c>
    </row>
    <row r="1186" spans="11:12" x14ac:dyDescent="0.3">
      <c r="K1186" s="28">
        <v>1.1839999999999999</v>
      </c>
      <c r="L1186" s="40">
        <f t="shared" si="18"/>
        <v>0.99462381120870436</v>
      </c>
    </row>
    <row r="1187" spans="11:12" x14ac:dyDescent="0.3">
      <c r="K1187" s="28">
        <v>1.1850000000000001</v>
      </c>
      <c r="L1187" s="40">
        <f t="shared" si="18"/>
        <v>0.99465195327343991</v>
      </c>
    </row>
    <row r="1188" spans="11:12" x14ac:dyDescent="0.3">
      <c r="K1188" s="28">
        <v>1.1859999999999999</v>
      </c>
      <c r="L1188" s="40">
        <f t="shared" si="18"/>
        <v>0.99467999332647228</v>
      </c>
    </row>
    <row r="1189" spans="11:12" x14ac:dyDescent="0.3">
      <c r="K1189" s="28">
        <v>1.1870000000000001</v>
      </c>
      <c r="L1189" s="40">
        <f t="shared" si="18"/>
        <v>0.99470784279965185</v>
      </c>
    </row>
    <row r="1190" spans="11:12" x14ac:dyDescent="0.3">
      <c r="K1190" s="28">
        <v>1.1879999999999999</v>
      </c>
      <c r="L1190" s="40">
        <f t="shared" si="18"/>
        <v>0.9947356068399742</v>
      </c>
    </row>
    <row r="1191" spans="11:12" x14ac:dyDescent="0.3">
      <c r="K1191" s="28">
        <v>1.1890000000000001</v>
      </c>
      <c r="L1191" s="40">
        <f t="shared" si="18"/>
        <v>0.99476323413217482</v>
      </c>
    </row>
    <row r="1192" spans="11:12" x14ac:dyDescent="0.3">
      <c r="K1192" s="28">
        <v>1.19</v>
      </c>
      <c r="L1192" s="40">
        <f t="shared" si="18"/>
        <v>0.9947907014884052</v>
      </c>
    </row>
    <row r="1193" spans="11:12" x14ac:dyDescent="0.3">
      <c r="K1193" s="28">
        <v>1.1910000000000001</v>
      </c>
      <c r="L1193" s="40">
        <f t="shared" si="18"/>
        <v>0.99481810033570994</v>
      </c>
    </row>
    <row r="1194" spans="11:12" x14ac:dyDescent="0.3">
      <c r="K1194" s="28">
        <v>1.1919999999999999</v>
      </c>
      <c r="L1194" s="40">
        <f t="shared" si="18"/>
        <v>0.99484537174669518</v>
      </c>
    </row>
    <row r="1195" spans="11:12" x14ac:dyDescent="0.3">
      <c r="K1195" s="28">
        <v>1.1930000000000001</v>
      </c>
      <c r="L1195" s="40">
        <f t="shared" si="18"/>
        <v>0.99487245630033505</v>
      </c>
    </row>
    <row r="1196" spans="11:12" x14ac:dyDescent="0.3">
      <c r="K1196" s="28">
        <v>1.194</v>
      </c>
      <c r="L1196" s="40">
        <f t="shared" si="18"/>
        <v>0.99489941378457702</v>
      </c>
    </row>
    <row r="1197" spans="11:12" x14ac:dyDescent="0.3">
      <c r="K1197" s="28">
        <v>1.1950000000000001</v>
      </c>
      <c r="L1197" s="40">
        <f t="shared" si="18"/>
        <v>0.99492630398774196</v>
      </c>
    </row>
    <row r="1198" spans="11:12" x14ac:dyDescent="0.3">
      <c r="K1198" s="28">
        <v>1.196</v>
      </c>
      <c r="L1198" s="40">
        <f t="shared" si="18"/>
        <v>0.99495303768633381</v>
      </c>
    </row>
    <row r="1199" spans="11:12" x14ac:dyDescent="0.3">
      <c r="K1199" s="28">
        <v>1.1970000000000001</v>
      </c>
      <c r="L1199" s="40">
        <f t="shared" si="18"/>
        <v>0.9949796448661884</v>
      </c>
    </row>
    <row r="1200" spans="11:12" x14ac:dyDescent="0.3">
      <c r="K1200" s="28">
        <v>1.198</v>
      </c>
      <c r="L1200" s="40">
        <f t="shared" si="18"/>
        <v>0.99500614061202075</v>
      </c>
    </row>
    <row r="1201" spans="11:12" x14ac:dyDescent="0.3">
      <c r="K1201" s="28">
        <v>1.1990000000000001</v>
      </c>
      <c r="L1201" s="40">
        <f t="shared" si="18"/>
        <v>0.99503248785442422</v>
      </c>
    </row>
    <row r="1202" spans="11:12" x14ac:dyDescent="0.3">
      <c r="K1202" s="28">
        <v>1.2</v>
      </c>
      <c r="L1202" s="40">
        <f t="shared" si="18"/>
        <v>0.99505873765312103</v>
      </c>
    </row>
    <row r="1203" spans="11:12" x14ac:dyDescent="0.3">
      <c r="K1203" s="28">
        <v>1.2010000000000001</v>
      </c>
      <c r="L1203" s="40">
        <f t="shared" si="18"/>
        <v>0.99508484670029773</v>
      </c>
    </row>
    <row r="1204" spans="11:12" x14ac:dyDescent="0.3">
      <c r="K1204" s="28">
        <v>1.202</v>
      </c>
      <c r="L1204" s="40">
        <f t="shared" si="18"/>
        <v>0.99511083087273611</v>
      </c>
    </row>
    <row r="1205" spans="11:12" x14ac:dyDescent="0.3">
      <c r="K1205" s="28">
        <v>1.2030000000000001</v>
      </c>
      <c r="L1205" s="40">
        <f t="shared" si="18"/>
        <v>0.9951366314758272</v>
      </c>
    </row>
    <row r="1206" spans="11:12" x14ac:dyDescent="0.3">
      <c r="K1206" s="28">
        <v>1.204</v>
      </c>
      <c r="L1206" s="40">
        <f t="shared" si="18"/>
        <v>0.99516236862858298</v>
      </c>
    </row>
    <row r="1207" spans="11:12" x14ac:dyDescent="0.3">
      <c r="K1207" s="28">
        <v>1.2050000000000001</v>
      </c>
      <c r="L1207" s="40">
        <f t="shared" si="18"/>
        <v>0.99518798363645056</v>
      </c>
    </row>
    <row r="1208" spans="11:12" x14ac:dyDescent="0.3">
      <c r="K1208" s="28">
        <v>1.206</v>
      </c>
      <c r="L1208" s="40">
        <f t="shared" si="18"/>
        <v>0.99521350721164092</v>
      </c>
    </row>
    <row r="1209" spans="11:12" x14ac:dyDescent="0.3">
      <c r="K1209" s="28">
        <v>1.2070000000000001</v>
      </c>
      <c r="L1209" s="40">
        <f t="shared" si="18"/>
        <v>0.99523885085711861</v>
      </c>
    </row>
    <row r="1210" spans="11:12" x14ac:dyDescent="0.3">
      <c r="K1210" s="28">
        <v>1.208</v>
      </c>
      <c r="L1210" s="40">
        <f t="shared" si="18"/>
        <v>0.99526410488982064</v>
      </c>
    </row>
    <row r="1211" spans="11:12" x14ac:dyDescent="0.3">
      <c r="K1211" s="28">
        <v>1.2090000000000001</v>
      </c>
      <c r="L1211" s="40">
        <f t="shared" si="18"/>
        <v>0.99528923296675875</v>
      </c>
    </row>
    <row r="1212" spans="11:12" x14ac:dyDescent="0.3">
      <c r="K1212" s="28">
        <v>1.21</v>
      </c>
      <c r="L1212" s="40">
        <f t="shared" si="18"/>
        <v>0.99531425737483958</v>
      </c>
    </row>
    <row r="1213" spans="11:12" x14ac:dyDescent="0.3">
      <c r="K1213" s="28">
        <v>1.2110000000000001</v>
      </c>
      <c r="L1213" s="40">
        <f t="shared" si="18"/>
        <v>0.99533914063156514</v>
      </c>
    </row>
    <row r="1214" spans="11:12" x14ac:dyDescent="0.3">
      <c r="K1214" s="28">
        <v>1.212</v>
      </c>
      <c r="L1214" s="40">
        <f t="shared" si="18"/>
        <v>0.9953639669183072</v>
      </c>
    </row>
    <row r="1215" spans="11:12" x14ac:dyDescent="0.3">
      <c r="K1215" s="28">
        <v>1.2130000000000001</v>
      </c>
      <c r="L1215" s="40">
        <f t="shared" si="18"/>
        <v>0.99538855753187172</v>
      </c>
    </row>
    <row r="1216" spans="11:12" x14ac:dyDescent="0.3">
      <c r="K1216" s="28">
        <v>1.214</v>
      </c>
      <c r="L1216" s="40">
        <f t="shared" si="18"/>
        <v>0.99541309139663592</v>
      </c>
    </row>
    <row r="1217" spans="11:12" x14ac:dyDescent="0.3">
      <c r="K1217" s="28">
        <v>1.2150000000000001</v>
      </c>
      <c r="L1217" s="40">
        <f t="shared" si="18"/>
        <v>0.99543753882107022</v>
      </c>
    </row>
    <row r="1218" spans="11:12" x14ac:dyDescent="0.3">
      <c r="K1218" s="28">
        <v>1.216</v>
      </c>
      <c r="L1218" s="40">
        <f t="shared" si="18"/>
        <v>0.99546187011344933</v>
      </c>
    </row>
    <row r="1219" spans="11:12" x14ac:dyDescent="0.3">
      <c r="K1219" s="28">
        <v>1.2170000000000001</v>
      </c>
      <c r="L1219" s="40">
        <f t="shared" ref="L1219:L1282" si="19">cubic_Spline($A$2:$A$152,$B$2:$B$152,K1219)</f>
        <v>0.99548605558209424</v>
      </c>
    </row>
    <row r="1220" spans="11:12" x14ac:dyDescent="0.3">
      <c r="K1220" s="28">
        <v>1.218</v>
      </c>
      <c r="L1220" s="40">
        <f t="shared" si="19"/>
        <v>0.99551015494232309</v>
      </c>
    </row>
    <row r="1221" spans="11:12" x14ac:dyDescent="0.3">
      <c r="K1221" s="28">
        <v>1.2190000000000001</v>
      </c>
      <c r="L1221" s="40">
        <f t="shared" si="19"/>
        <v>0.99553411615069898</v>
      </c>
    </row>
    <row r="1222" spans="11:12" x14ac:dyDescent="0.3">
      <c r="K1222" s="28">
        <v>1.22</v>
      </c>
      <c r="L1222" s="40">
        <f t="shared" si="19"/>
        <v>0.99555797587344996</v>
      </c>
    </row>
    <row r="1223" spans="11:12" x14ac:dyDescent="0.3">
      <c r="K1223" s="28">
        <v>1.2210000000000001</v>
      </c>
      <c r="L1223" s="40">
        <f t="shared" si="19"/>
        <v>0.99558169253943718</v>
      </c>
    </row>
    <row r="1224" spans="11:12" x14ac:dyDescent="0.3">
      <c r="K1224" s="28">
        <v>1.222</v>
      </c>
      <c r="L1224" s="40">
        <f t="shared" si="19"/>
        <v>0.99560535402448835</v>
      </c>
    </row>
    <row r="1225" spans="11:12" x14ac:dyDescent="0.3">
      <c r="K1225" s="28">
        <v>1.2230000000000001</v>
      </c>
      <c r="L1225" s="40">
        <f t="shared" si="19"/>
        <v>0.99562878230801899</v>
      </c>
    </row>
    <row r="1226" spans="11:12" x14ac:dyDescent="0.3">
      <c r="K1226" s="28">
        <v>1.224</v>
      </c>
      <c r="L1226" s="40">
        <f t="shared" si="19"/>
        <v>0.99565221660166314</v>
      </c>
    </row>
    <row r="1227" spans="11:12" x14ac:dyDescent="0.3">
      <c r="K1227" s="28">
        <v>1.2250000000000001</v>
      </c>
      <c r="L1227" s="40">
        <f t="shared" si="19"/>
        <v>0.99567550868721044</v>
      </c>
    </row>
    <row r="1228" spans="11:12" x14ac:dyDescent="0.3">
      <c r="K1228" s="28">
        <v>1.226</v>
      </c>
      <c r="L1228" s="40">
        <f t="shared" si="19"/>
        <v>0.99569868916019078</v>
      </c>
    </row>
    <row r="1229" spans="11:12" x14ac:dyDescent="0.3">
      <c r="K1229" s="28">
        <v>1.2270000000000001</v>
      </c>
      <c r="L1229" s="40">
        <f t="shared" si="19"/>
        <v>0.99572172901153577</v>
      </c>
    </row>
    <row r="1230" spans="11:12" x14ac:dyDescent="0.3">
      <c r="K1230" s="28">
        <v>1.228</v>
      </c>
      <c r="L1230" s="40">
        <f t="shared" si="19"/>
        <v>0.99574467373801168</v>
      </c>
    </row>
    <row r="1231" spans="11:12" x14ac:dyDescent="0.3">
      <c r="K1231" s="28">
        <v>1.2290000000000001</v>
      </c>
      <c r="L1231" s="40">
        <f t="shared" si="19"/>
        <v>0.99576751668227637</v>
      </c>
    </row>
    <row r="1232" spans="11:12" x14ac:dyDescent="0.3">
      <c r="K1232" s="28">
        <v>1.23</v>
      </c>
      <c r="L1232" s="40">
        <f t="shared" si="19"/>
        <v>0.99579025074394456</v>
      </c>
    </row>
    <row r="1233" spans="11:12" x14ac:dyDescent="0.3">
      <c r="K1233" s="28">
        <v>1.2310000000000001</v>
      </c>
      <c r="L1233" s="40">
        <f t="shared" si="19"/>
        <v>0.99581289691262453</v>
      </c>
    </row>
    <row r="1234" spans="11:12" x14ac:dyDescent="0.3">
      <c r="K1234" s="28">
        <v>1.232</v>
      </c>
      <c r="L1234" s="40">
        <f t="shared" si="19"/>
        <v>0.99583537612300543</v>
      </c>
    </row>
    <row r="1235" spans="11:12" x14ac:dyDescent="0.3">
      <c r="K1235" s="28">
        <v>1.2330000000000001</v>
      </c>
      <c r="L1235" s="40">
        <f t="shared" si="19"/>
        <v>0.99585774827243878</v>
      </c>
    </row>
    <row r="1236" spans="11:12" x14ac:dyDescent="0.3">
      <c r="K1236" s="28">
        <v>1.234</v>
      </c>
      <c r="L1236" s="40">
        <f t="shared" si="19"/>
        <v>0.99588007325799488</v>
      </c>
    </row>
    <row r="1237" spans="11:12" x14ac:dyDescent="0.3">
      <c r="K1237" s="28">
        <v>1.2350000000000001</v>
      </c>
      <c r="L1237" s="40">
        <f t="shared" si="19"/>
        <v>0.99590229176778333</v>
      </c>
    </row>
    <row r="1238" spans="11:12" x14ac:dyDescent="0.3">
      <c r="K1238" s="28">
        <v>1.236</v>
      </c>
      <c r="L1238" s="40">
        <f t="shared" si="19"/>
        <v>0.99592437429205005</v>
      </c>
    </row>
    <row r="1239" spans="11:12" x14ac:dyDescent="0.3">
      <c r="K1239" s="28">
        <v>1.2370000000000001</v>
      </c>
      <c r="L1239" s="40">
        <f t="shared" si="19"/>
        <v>0.99594635092573425</v>
      </c>
    </row>
    <row r="1240" spans="11:12" x14ac:dyDescent="0.3">
      <c r="K1240" s="28">
        <v>1.238</v>
      </c>
      <c r="L1240" s="40">
        <f t="shared" si="19"/>
        <v>0.99596823686263491</v>
      </c>
    </row>
    <row r="1241" spans="11:12" x14ac:dyDescent="0.3">
      <c r="K1241" s="28">
        <v>1.2390000000000001</v>
      </c>
      <c r="L1241" s="40">
        <f t="shared" si="19"/>
        <v>0.99599001004361309</v>
      </c>
    </row>
    <row r="1242" spans="11:12" x14ac:dyDescent="0.3">
      <c r="K1242" s="28">
        <v>1.24</v>
      </c>
      <c r="L1242" s="40">
        <f t="shared" si="19"/>
        <v>0.9960116780006677</v>
      </c>
    </row>
    <row r="1243" spans="11:12" x14ac:dyDescent="0.3">
      <c r="K1243" s="28">
        <v>1.2410000000000001</v>
      </c>
      <c r="L1243" s="40">
        <f t="shared" si="19"/>
        <v>0.99603323406055488</v>
      </c>
    </row>
    <row r="1244" spans="11:12" x14ac:dyDescent="0.3">
      <c r="K1244" s="28">
        <v>1.242</v>
      </c>
      <c r="L1244" s="40">
        <f t="shared" si="19"/>
        <v>0.99605474554465367</v>
      </c>
    </row>
    <row r="1245" spans="11:12" x14ac:dyDescent="0.3">
      <c r="K1245" s="28">
        <v>1.2430000000000001</v>
      </c>
      <c r="L1245" s="40">
        <f t="shared" si="19"/>
        <v>0.99607603417880008</v>
      </c>
    </row>
    <row r="1246" spans="11:12" x14ac:dyDescent="0.3">
      <c r="K1246" s="28">
        <v>1.244</v>
      </c>
      <c r="L1246" s="40">
        <f t="shared" si="19"/>
        <v>0.99609727931642367</v>
      </c>
    </row>
    <row r="1247" spans="11:12" x14ac:dyDescent="0.3">
      <c r="K1247" s="28">
        <v>1.2450000000000001</v>
      </c>
      <c r="L1247" s="40">
        <f t="shared" si="19"/>
        <v>0.99611845169501867</v>
      </c>
    </row>
    <row r="1248" spans="11:12" x14ac:dyDescent="0.3">
      <c r="K1248" s="28">
        <v>1.246</v>
      </c>
      <c r="L1248" s="40">
        <f t="shared" si="19"/>
        <v>0.99613952205189604</v>
      </c>
    </row>
    <row r="1249" spans="11:12" x14ac:dyDescent="0.3">
      <c r="K1249" s="28">
        <v>1.2470000000000001</v>
      </c>
      <c r="L1249" s="40">
        <f t="shared" si="19"/>
        <v>0.99616043132209497</v>
      </c>
    </row>
    <row r="1250" spans="11:12" x14ac:dyDescent="0.3">
      <c r="K1250" s="28">
        <v>1.248</v>
      </c>
      <c r="L1250" s="40">
        <f t="shared" si="19"/>
        <v>0.99618129925460575</v>
      </c>
    </row>
    <row r="1251" spans="11:12" x14ac:dyDescent="0.3">
      <c r="K1251" s="28">
        <v>1.2490000000000001</v>
      </c>
      <c r="L1251" s="40">
        <f t="shared" si="19"/>
        <v>0.99620203698213083</v>
      </c>
    </row>
    <row r="1252" spans="11:12" x14ac:dyDescent="0.3">
      <c r="K1252" s="28">
        <v>1.25</v>
      </c>
      <c r="L1252" s="40">
        <f t="shared" si="19"/>
        <v>0.99622267484664917</v>
      </c>
    </row>
    <row r="1253" spans="11:12" x14ac:dyDescent="0.3">
      <c r="K1253" s="28">
        <v>1.2510000000000001</v>
      </c>
      <c r="L1253" s="40">
        <f t="shared" si="19"/>
        <v>0.99624321338629884</v>
      </c>
    </row>
    <row r="1254" spans="11:12" x14ac:dyDescent="0.3">
      <c r="K1254" s="28">
        <v>1.252</v>
      </c>
      <c r="L1254" s="40">
        <f t="shared" si="19"/>
        <v>0.99626371261698476</v>
      </c>
    </row>
    <row r="1255" spans="11:12" x14ac:dyDescent="0.3">
      <c r="K1255" s="28">
        <v>1.2530000000000001</v>
      </c>
      <c r="L1255" s="40">
        <f t="shared" si="19"/>
        <v>0.99628399413455537</v>
      </c>
    </row>
    <row r="1256" spans="11:12" x14ac:dyDescent="0.3">
      <c r="K1256" s="28">
        <v>1.254</v>
      </c>
      <c r="L1256" s="40">
        <f t="shared" si="19"/>
        <v>0.99630423716246208</v>
      </c>
    </row>
    <row r="1257" spans="11:12" x14ac:dyDescent="0.3">
      <c r="K1257" s="28">
        <v>1.2550000000000001</v>
      </c>
      <c r="L1257" s="40">
        <f t="shared" si="19"/>
        <v>0.99632441230820978</v>
      </c>
    </row>
    <row r="1258" spans="11:12" x14ac:dyDescent="0.3">
      <c r="K1258" s="28">
        <v>1.256</v>
      </c>
      <c r="L1258" s="40">
        <f t="shared" si="19"/>
        <v>0.99634449017912408</v>
      </c>
    </row>
    <row r="1259" spans="11:12" x14ac:dyDescent="0.3">
      <c r="K1259" s="28">
        <v>1.2570000000000001</v>
      </c>
      <c r="L1259" s="40">
        <f t="shared" si="19"/>
        <v>0.99636441158026101</v>
      </c>
    </row>
    <row r="1260" spans="11:12" x14ac:dyDescent="0.3">
      <c r="K1260" s="28">
        <v>1.258</v>
      </c>
      <c r="L1260" s="40">
        <f t="shared" si="19"/>
        <v>0.99638429613062263</v>
      </c>
    </row>
    <row r="1261" spans="11:12" x14ac:dyDescent="0.3">
      <c r="K1261" s="28">
        <v>1.2590000000000001</v>
      </c>
      <c r="L1261" s="40">
        <f t="shared" si="19"/>
        <v>0.99640405483292893</v>
      </c>
    </row>
    <row r="1262" spans="11:12" x14ac:dyDescent="0.3">
      <c r="K1262" s="28">
        <v>1.26</v>
      </c>
      <c r="L1262" s="40">
        <f t="shared" si="19"/>
        <v>0.99642371809090569</v>
      </c>
    </row>
    <row r="1263" spans="11:12" x14ac:dyDescent="0.3">
      <c r="K1263" s="28">
        <v>1.2610000000000001</v>
      </c>
      <c r="L1263" s="40">
        <f t="shared" si="19"/>
        <v>0.9964433038172642</v>
      </c>
    </row>
    <row r="1264" spans="11:12" x14ac:dyDescent="0.3">
      <c r="K1264" s="28">
        <v>1.262</v>
      </c>
      <c r="L1264" s="40">
        <f t="shared" si="19"/>
        <v>0.99646279464221055</v>
      </c>
    </row>
    <row r="1265" spans="11:12" x14ac:dyDescent="0.3">
      <c r="K1265" s="28">
        <v>1.2630000000000001</v>
      </c>
      <c r="L1265" s="40">
        <f t="shared" si="19"/>
        <v>0.99648213128612018</v>
      </c>
    </row>
    <row r="1266" spans="11:12" x14ac:dyDescent="0.3">
      <c r="K1266" s="28">
        <v>1.264</v>
      </c>
      <c r="L1266" s="40">
        <f t="shared" si="19"/>
        <v>0.99650143328304452</v>
      </c>
    </row>
    <row r="1267" spans="11:12" x14ac:dyDescent="0.3">
      <c r="K1267" s="28">
        <v>1.2650000000000001</v>
      </c>
      <c r="L1267" s="40">
        <f t="shared" si="19"/>
        <v>0.99652064135340146</v>
      </c>
    </row>
    <row r="1268" spans="11:12" x14ac:dyDescent="0.3">
      <c r="K1268" s="28">
        <v>1.266</v>
      </c>
      <c r="L1268" s="40">
        <f t="shared" si="19"/>
        <v>0.99653975582207832</v>
      </c>
    </row>
    <row r="1269" spans="11:12" x14ac:dyDescent="0.3">
      <c r="K1269" s="28">
        <v>1.2670000000000001</v>
      </c>
      <c r="L1269" s="40">
        <f t="shared" si="19"/>
        <v>0.99655874721169435</v>
      </c>
    </row>
    <row r="1270" spans="11:12" x14ac:dyDescent="0.3">
      <c r="K1270" s="28">
        <v>1.268</v>
      </c>
      <c r="L1270" s="40">
        <f t="shared" si="19"/>
        <v>0.99657767545184339</v>
      </c>
    </row>
    <row r="1271" spans="11:12" x14ac:dyDescent="0.3">
      <c r="K1271" s="28">
        <v>1.2690000000000001</v>
      </c>
      <c r="L1271" s="40">
        <f t="shared" si="19"/>
        <v>0.99659650361455099</v>
      </c>
    </row>
    <row r="1272" spans="11:12" x14ac:dyDescent="0.3">
      <c r="K1272" s="28">
        <v>1.27</v>
      </c>
      <c r="L1272" s="40">
        <f t="shared" si="19"/>
        <v>0.99661522493942123</v>
      </c>
    </row>
    <row r="1273" spans="11:12" x14ac:dyDescent="0.3">
      <c r="K1273" s="28">
        <v>1.2710000000000001</v>
      </c>
      <c r="L1273" s="40">
        <f t="shared" si="19"/>
        <v>0.99663389419203874</v>
      </c>
    </row>
    <row r="1274" spans="11:12" x14ac:dyDescent="0.3">
      <c r="K1274" s="28">
        <v>1.272</v>
      </c>
      <c r="L1274" s="40">
        <f t="shared" si="19"/>
        <v>0.99665247190399608</v>
      </c>
    </row>
    <row r="1275" spans="11:12" x14ac:dyDescent="0.3">
      <c r="K1275" s="28">
        <v>1.2730000000000001</v>
      </c>
      <c r="L1275" s="40">
        <f t="shared" si="19"/>
        <v>0.99667083930242351</v>
      </c>
    </row>
    <row r="1276" spans="11:12" x14ac:dyDescent="0.3">
      <c r="K1276" s="28">
        <v>1.274</v>
      </c>
      <c r="L1276" s="40">
        <f t="shared" si="19"/>
        <v>0.99668923524206643</v>
      </c>
    </row>
    <row r="1277" spans="11:12" x14ac:dyDescent="0.3">
      <c r="K1277" s="28">
        <v>1.2750000000000001</v>
      </c>
      <c r="L1277" s="40">
        <f t="shared" si="19"/>
        <v>0.99670751114777323</v>
      </c>
    </row>
    <row r="1278" spans="11:12" x14ac:dyDescent="0.3">
      <c r="K1278" s="28">
        <v>1.276</v>
      </c>
      <c r="L1278" s="40">
        <f t="shared" si="19"/>
        <v>0.99672572706047669</v>
      </c>
    </row>
    <row r="1279" spans="11:12" x14ac:dyDescent="0.3">
      <c r="K1279" s="28">
        <v>1.2770000000000001</v>
      </c>
      <c r="L1279" s="40">
        <f t="shared" si="19"/>
        <v>0.99674379400955271</v>
      </c>
    </row>
    <row r="1280" spans="11:12" x14ac:dyDescent="0.3">
      <c r="K1280" s="28">
        <v>1.278</v>
      </c>
      <c r="L1280" s="40">
        <f t="shared" si="19"/>
        <v>0.9967618167394775</v>
      </c>
    </row>
    <row r="1281" spans="11:12" x14ac:dyDescent="0.3">
      <c r="K1281" s="28">
        <v>1.2790000000000001</v>
      </c>
      <c r="L1281" s="40">
        <f t="shared" si="19"/>
        <v>0.99677973608193682</v>
      </c>
    </row>
    <row r="1282" spans="11:12" x14ac:dyDescent="0.3">
      <c r="K1282" s="28">
        <v>1.28</v>
      </c>
      <c r="L1282" s="40">
        <f t="shared" si="19"/>
        <v>0.99679755299489192</v>
      </c>
    </row>
    <row r="1283" spans="11:12" x14ac:dyDescent="0.3">
      <c r="K1283" s="28">
        <v>1.2809999999999999</v>
      </c>
      <c r="L1283" s="40">
        <f t="shared" ref="L1283:L1346" si="20">cubic_Spline($A$2:$A$152,$B$2:$B$152,K1283)</f>
        <v>0.99681532053237787</v>
      </c>
    </row>
    <row r="1284" spans="11:12" x14ac:dyDescent="0.3">
      <c r="K1284" s="28">
        <v>1.282</v>
      </c>
      <c r="L1284" s="40">
        <f t="shared" si="20"/>
        <v>0.99683300088939664</v>
      </c>
    </row>
    <row r="1285" spans="11:12" x14ac:dyDescent="0.3">
      <c r="K1285" s="28">
        <v>1.2829999999999999</v>
      </c>
      <c r="L1285" s="40">
        <f t="shared" si="20"/>
        <v>0.99685053489442732</v>
      </c>
    </row>
    <row r="1286" spans="11:12" x14ac:dyDescent="0.3">
      <c r="K1286" s="28">
        <v>1.284</v>
      </c>
      <c r="L1286" s="40">
        <f t="shared" si="20"/>
        <v>0.99686798258517029</v>
      </c>
    </row>
    <row r="1287" spans="11:12" x14ac:dyDescent="0.3">
      <c r="K1287" s="28">
        <v>1.2849999999999999</v>
      </c>
      <c r="L1287" s="40">
        <f t="shared" si="20"/>
        <v>0.99688540399943304</v>
      </c>
    </row>
    <row r="1288" spans="11:12" x14ac:dyDescent="0.3">
      <c r="K1288" s="28">
        <v>1.286</v>
      </c>
      <c r="L1288" s="40">
        <f t="shared" si="20"/>
        <v>0.99690273996574219</v>
      </c>
    </row>
    <row r="1289" spans="11:12" x14ac:dyDescent="0.3">
      <c r="K1289" s="28">
        <v>1.2869999999999999</v>
      </c>
      <c r="L1289" s="40">
        <f t="shared" si="20"/>
        <v>0.99691996111482661</v>
      </c>
    </row>
    <row r="1290" spans="11:12" x14ac:dyDescent="0.3">
      <c r="K1290" s="28">
        <v>1.288</v>
      </c>
      <c r="L1290" s="40">
        <f t="shared" si="20"/>
        <v>0.99693709768223671</v>
      </c>
    </row>
    <row r="1291" spans="11:12" x14ac:dyDescent="0.3">
      <c r="K1291" s="28">
        <v>1.2889999999999999</v>
      </c>
      <c r="L1291" s="40">
        <f t="shared" si="20"/>
        <v>0.99695415755159256</v>
      </c>
    </row>
    <row r="1292" spans="11:12" x14ac:dyDescent="0.3">
      <c r="K1292" s="28">
        <v>1.29</v>
      </c>
      <c r="L1292" s="40">
        <f t="shared" si="20"/>
        <v>0.996971119466456</v>
      </c>
    </row>
    <row r="1293" spans="11:12" x14ac:dyDescent="0.3">
      <c r="K1293" s="28">
        <v>1.2909999999999999</v>
      </c>
      <c r="L1293" s="40">
        <f t="shared" si="20"/>
        <v>0.99698804661078</v>
      </c>
    </row>
    <row r="1294" spans="11:12" x14ac:dyDescent="0.3">
      <c r="K1294" s="28">
        <v>1.292</v>
      </c>
      <c r="L1294" s="40">
        <f t="shared" si="20"/>
        <v>0.99700483120270345</v>
      </c>
    </row>
    <row r="1295" spans="11:12" x14ac:dyDescent="0.3">
      <c r="K1295" s="28">
        <v>1.2929999999999999</v>
      </c>
      <c r="L1295" s="40">
        <f t="shared" si="20"/>
        <v>0.99702153318140685</v>
      </c>
    </row>
    <row r="1296" spans="11:12" x14ac:dyDescent="0.3">
      <c r="K1296" s="28">
        <v>1.294</v>
      </c>
      <c r="L1296" s="40">
        <f t="shared" si="20"/>
        <v>0.99703821248601043</v>
      </c>
    </row>
    <row r="1297" spans="11:12" x14ac:dyDescent="0.3">
      <c r="K1297" s="28">
        <v>1.2949999999999999</v>
      </c>
      <c r="L1297" s="40">
        <f t="shared" si="20"/>
        <v>0.99705475024179746</v>
      </c>
    </row>
    <row r="1298" spans="11:12" x14ac:dyDescent="0.3">
      <c r="K1298" s="28">
        <v>1.296</v>
      </c>
      <c r="L1298" s="40">
        <f t="shared" si="20"/>
        <v>0.99707126599264284</v>
      </c>
    </row>
    <row r="1299" spans="11:12" x14ac:dyDescent="0.3">
      <c r="K1299" s="28">
        <v>1.2969999999999999</v>
      </c>
      <c r="L1299" s="40">
        <f t="shared" si="20"/>
        <v>0.99708764086372392</v>
      </c>
    </row>
    <row r="1300" spans="11:12" x14ac:dyDescent="0.3">
      <c r="K1300" s="28">
        <v>1.298</v>
      </c>
      <c r="L1300" s="40">
        <f t="shared" si="20"/>
        <v>0.99710396459664674</v>
      </c>
    </row>
    <row r="1301" spans="11:12" x14ac:dyDescent="0.3">
      <c r="K1301" s="28">
        <v>1.2989999999999999</v>
      </c>
      <c r="L1301" s="40">
        <f t="shared" si="20"/>
        <v>0.99712020027296433</v>
      </c>
    </row>
    <row r="1302" spans="11:12" x14ac:dyDescent="0.3">
      <c r="K1302" s="28">
        <v>1.3</v>
      </c>
      <c r="L1302" s="40">
        <f t="shared" si="20"/>
        <v>0.99713634156455011</v>
      </c>
    </row>
    <row r="1303" spans="11:12" x14ac:dyDescent="0.3">
      <c r="K1303" s="28">
        <v>1.3009999999999999</v>
      </c>
      <c r="L1303" s="40">
        <f t="shared" si="20"/>
        <v>0.9971524662287552</v>
      </c>
    </row>
    <row r="1304" spans="11:12" x14ac:dyDescent="0.3">
      <c r="K1304" s="28">
        <v>1.302</v>
      </c>
      <c r="L1304" s="40">
        <f t="shared" si="20"/>
        <v>0.99716845172592405</v>
      </c>
    </row>
    <row r="1305" spans="11:12" x14ac:dyDescent="0.3">
      <c r="K1305" s="28">
        <v>1.3029999999999999</v>
      </c>
      <c r="L1305" s="40">
        <f t="shared" si="20"/>
        <v>0.99718429843051348</v>
      </c>
    </row>
    <row r="1306" spans="11:12" x14ac:dyDescent="0.3">
      <c r="K1306" s="28">
        <v>1.304</v>
      </c>
      <c r="L1306" s="40">
        <f t="shared" si="20"/>
        <v>0.99720018553086021</v>
      </c>
    </row>
    <row r="1307" spans="11:12" x14ac:dyDescent="0.3">
      <c r="K1307" s="28">
        <v>1.3049999999999999</v>
      </c>
      <c r="L1307" s="40">
        <f t="shared" si="20"/>
        <v>0.99721596438984461</v>
      </c>
    </row>
    <row r="1308" spans="11:12" x14ac:dyDescent="0.3">
      <c r="K1308" s="28">
        <v>1.306</v>
      </c>
      <c r="L1308" s="40">
        <f t="shared" si="20"/>
        <v>0.99723163538197457</v>
      </c>
    </row>
    <row r="1309" spans="11:12" x14ac:dyDescent="0.3">
      <c r="K1309" s="28">
        <v>1.3069999999999999</v>
      </c>
      <c r="L1309" s="40">
        <f t="shared" si="20"/>
        <v>0.9972472286839632</v>
      </c>
    </row>
    <row r="1310" spans="11:12" x14ac:dyDescent="0.3">
      <c r="K1310" s="28">
        <v>1.3080000000000001</v>
      </c>
      <c r="L1310" s="40">
        <f t="shared" si="20"/>
        <v>0.99726277447269251</v>
      </c>
    </row>
    <row r="1311" spans="11:12" x14ac:dyDescent="0.3">
      <c r="K1311" s="28">
        <v>1.3089999999999999</v>
      </c>
      <c r="L1311" s="40">
        <f t="shared" si="20"/>
        <v>0.99727822096847818</v>
      </c>
    </row>
    <row r="1312" spans="11:12" x14ac:dyDescent="0.3">
      <c r="K1312" s="28">
        <v>1.31</v>
      </c>
      <c r="L1312" s="40">
        <f t="shared" si="20"/>
        <v>0.99729357682811826</v>
      </c>
    </row>
    <row r="1313" spans="11:12" x14ac:dyDescent="0.3">
      <c r="K1313" s="28">
        <v>1.3109999999999999</v>
      </c>
      <c r="L1313" s="40">
        <f t="shared" si="20"/>
        <v>0.99730891403927713</v>
      </c>
    </row>
    <row r="1314" spans="11:12" x14ac:dyDescent="0.3">
      <c r="K1314" s="28">
        <v>1.3120000000000001</v>
      </c>
      <c r="L1314" s="40">
        <f t="shared" si="20"/>
        <v>0.9973241157565268</v>
      </c>
    </row>
    <row r="1315" spans="11:12" x14ac:dyDescent="0.3">
      <c r="K1315" s="28">
        <v>1.3129999999999999</v>
      </c>
      <c r="L1315" s="40">
        <f t="shared" si="20"/>
        <v>0.99733924188743306</v>
      </c>
    </row>
    <row r="1316" spans="11:12" x14ac:dyDescent="0.3">
      <c r="K1316" s="28">
        <v>1.3140000000000001</v>
      </c>
      <c r="L1316" s="40">
        <f t="shared" si="20"/>
        <v>0.99735429273486986</v>
      </c>
    </row>
    <row r="1317" spans="11:12" x14ac:dyDescent="0.3">
      <c r="K1317" s="28">
        <v>1.3149999999999999</v>
      </c>
      <c r="L1317" s="40">
        <f t="shared" si="20"/>
        <v>0.99736932820643742</v>
      </c>
    </row>
    <row r="1318" spans="11:12" x14ac:dyDescent="0.3">
      <c r="K1318" s="28">
        <v>1.3160000000000001</v>
      </c>
      <c r="L1318" s="40">
        <f t="shared" si="20"/>
        <v>0.99738425919814289</v>
      </c>
    </row>
    <row r="1319" spans="11:12" x14ac:dyDescent="0.3">
      <c r="K1319" s="28">
        <v>1.3169999999999999</v>
      </c>
      <c r="L1319" s="40">
        <f t="shared" si="20"/>
        <v>0.99739908601284455</v>
      </c>
    </row>
    <row r="1320" spans="11:12" x14ac:dyDescent="0.3">
      <c r="K1320" s="28">
        <v>1.3180000000000001</v>
      </c>
      <c r="L1320" s="40">
        <f t="shared" si="20"/>
        <v>0.9974138834593721</v>
      </c>
    </row>
    <row r="1321" spans="11:12" x14ac:dyDescent="0.3">
      <c r="K1321" s="28">
        <v>1.319</v>
      </c>
      <c r="L1321" s="40">
        <f t="shared" si="20"/>
        <v>0.99742857733476742</v>
      </c>
    </row>
    <row r="1322" spans="11:12" x14ac:dyDescent="0.3">
      <c r="K1322" s="28">
        <v>1.32</v>
      </c>
      <c r="L1322" s="40">
        <f t="shared" si="20"/>
        <v>0.99744321179842366</v>
      </c>
    </row>
    <row r="1323" spans="11:12" x14ac:dyDescent="0.3">
      <c r="K1323" s="28">
        <v>1.321</v>
      </c>
      <c r="L1323" s="40">
        <f t="shared" si="20"/>
        <v>0.99745774090667105</v>
      </c>
    </row>
    <row r="1324" spans="11:12" x14ac:dyDescent="0.3">
      <c r="K1324" s="28">
        <v>1.3220000000000001</v>
      </c>
      <c r="L1324" s="40">
        <f t="shared" si="20"/>
        <v>0.99747225668002437</v>
      </c>
    </row>
    <row r="1325" spans="11:12" x14ac:dyDescent="0.3">
      <c r="K1325" s="28">
        <v>1.323</v>
      </c>
      <c r="L1325" s="40">
        <f t="shared" si="20"/>
        <v>0.99748664013250832</v>
      </c>
    </row>
    <row r="1326" spans="11:12" x14ac:dyDescent="0.3">
      <c r="K1326" s="28">
        <v>1.3240000000000001</v>
      </c>
      <c r="L1326" s="40">
        <f t="shared" si="20"/>
        <v>0.99750095109203962</v>
      </c>
    </row>
    <row r="1327" spans="11:12" x14ac:dyDescent="0.3">
      <c r="K1327" s="28">
        <v>1.325</v>
      </c>
      <c r="L1327" s="40">
        <f t="shared" si="20"/>
        <v>0.99751524938660963</v>
      </c>
    </row>
    <row r="1328" spans="11:12" x14ac:dyDescent="0.3">
      <c r="K1328" s="28">
        <v>1.3260000000000001</v>
      </c>
      <c r="L1328" s="40">
        <f t="shared" si="20"/>
        <v>0.99752944583261993</v>
      </c>
    </row>
    <row r="1329" spans="11:12" x14ac:dyDescent="0.3">
      <c r="K1329" s="28">
        <v>1.327</v>
      </c>
      <c r="L1329" s="40">
        <f t="shared" si="20"/>
        <v>0.99754354065332407</v>
      </c>
    </row>
    <row r="1330" spans="11:12" x14ac:dyDescent="0.3">
      <c r="K1330" s="28">
        <v>1.3280000000000001</v>
      </c>
      <c r="L1330" s="40">
        <f t="shared" si="20"/>
        <v>0.99755759367678276</v>
      </c>
    </row>
    <row r="1331" spans="11:12" x14ac:dyDescent="0.3">
      <c r="K1331" s="28">
        <v>1.329</v>
      </c>
      <c r="L1331" s="40">
        <f t="shared" si="20"/>
        <v>0.99757157532391738</v>
      </c>
    </row>
    <row r="1332" spans="11:12" x14ac:dyDescent="0.3">
      <c r="K1332" s="28">
        <v>1.33</v>
      </c>
      <c r="L1332" s="40">
        <f t="shared" si="20"/>
        <v>0.99758548520752854</v>
      </c>
    </row>
    <row r="1333" spans="11:12" x14ac:dyDescent="0.3">
      <c r="K1333" s="28">
        <v>1.331</v>
      </c>
      <c r="L1333" s="40">
        <f t="shared" si="20"/>
        <v>0.99759933676619106</v>
      </c>
    </row>
    <row r="1334" spans="11:12" x14ac:dyDescent="0.3">
      <c r="K1334" s="28">
        <v>1.3320000000000001</v>
      </c>
      <c r="L1334" s="40">
        <f t="shared" si="20"/>
        <v>0.99761311797617069</v>
      </c>
    </row>
    <row r="1335" spans="11:12" x14ac:dyDescent="0.3">
      <c r="K1335" s="28">
        <v>1.333</v>
      </c>
      <c r="L1335" s="40">
        <f t="shared" si="20"/>
        <v>0.99762676981373888</v>
      </c>
    </row>
    <row r="1336" spans="11:12" x14ac:dyDescent="0.3">
      <c r="K1336" s="28">
        <v>1.3340000000000001</v>
      </c>
      <c r="L1336" s="40">
        <f t="shared" si="20"/>
        <v>0.99764035246441818</v>
      </c>
    </row>
    <row r="1337" spans="11:12" x14ac:dyDescent="0.3">
      <c r="K1337" s="28">
        <v>1.335</v>
      </c>
      <c r="L1337" s="40">
        <f t="shared" si="20"/>
        <v>0.99765395591612349</v>
      </c>
    </row>
    <row r="1338" spans="11:12" x14ac:dyDescent="0.3">
      <c r="K1338" s="28">
        <v>1.3360000000000001</v>
      </c>
      <c r="L1338" s="40">
        <f t="shared" si="20"/>
        <v>0.99766743173821437</v>
      </c>
    </row>
    <row r="1339" spans="11:12" x14ac:dyDescent="0.3">
      <c r="K1339" s="28">
        <v>1.337</v>
      </c>
      <c r="L1339" s="40">
        <f t="shared" si="20"/>
        <v>0.99768084011619296</v>
      </c>
    </row>
    <row r="1340" spans="11:12" x14ac:dyDescent="0.3">
      <c r="K1340" s="28">
        <v>1.3380000000000001</v>
      </c>
      <c r="L1340" s="40">
        <f t="shared" si="20"/>
        <v>0.9976942114333992</v>
      </c>
    </row>
    <row r="1341" spans="11:12" x14ac:dyDescent="0.3">
      <c r="K1341" s="28">
        <v>1.339</v>
      </c>
      <c r="L1341" s="40">
        <f t="shared" si="20"/>
        <v>0.99770750156719723</v>
      </c>
    </row>
    <row r="1342" spans="11:12" x14ac:dyDescent="0.3">
      <c r="K1342" s="28">
        <v>1.34</v>
      </c>
      <c r="L1342" s="40">
        <f t="shared" si="20"/>
        <v>0.99772072554831304</v>
      </c>
    </row>
    <row r="1343" spans="11:12" x14ac:dyDescent="0.3">
      <c r="K1343" s="28">
        <v>1.341</v>
      </c>
      <c r="L1343" s="40">
        <f t="shared" si="20"/>
        <v>0.99773389371003873</v>
      </c>
    </row>
    <row r="1344" spans="11:12" x14ac:dyDescent="0.3">
      <c r="K1344" s="28">
        <v>1.3420000000000001</v>
      </c>
      <c r="L1344" s="40">
        <f t="shared" si="20"/>
        <v>0.99774699670782452</v>
      </c>
    </row>
    <row r="1345" spans="11:12" x14ac:dyDescent="0.3">
      <c r="K1345" s="28">
        <v>1.343</v>
      </c>
      <c r="L1345" s="40">
        <f t="shared" si="20"/>
        <v>0.99775997489336443</v>
      </c>
    </row>
    <row r="1346" spans="11:12" x14ac:dyDescent="0.3">
      <c r="K1346" s="28">
        <v>1.3440000000000001</v>
      </c>
      <c r="L1346" s="40">
        <f t="shared" si="20"/>
        <v>0.99777294743225942</v>
      </c>
    </row>
    <row r="1347" spans="11:12" x14ac:dyDescent="0.3">
      <c r="K1347" s="28">
        <v>1.345</v>
      </c>
      <c r="L1347" s="40">
        <f t="shared" ref="L1347:L1410" si="21">cubic_Spline($A$2:$A$152,$B$2:$B$152,K1347)</f>
        <v>0.99778585467623271</v>
      </c>
    </row>
    <row r="1348" spans="11:12" x14ac:dyDescent="0.3">
      <c r="K1348" s="28">
        <v>1.3460000000000001</v>
      </c>
      <c r="L1348" s="40">
        <f t="shared" si="21"/>
        <v>0.9977986965816813</v>
      </c>
    </row>
    <row r="1349" spans="11:12" x14ac:dyDescent="0.3">
      <c r="K1349" s="28">
        <v>1.347</v>
      </c>
      <c r="L1349" s="40">
        <f t="shared" si="21"/>
        <v>0.9978114433025681</v>
      </c>
    </row>
    <row r="1350" spans="11:12" x14ac:dyDescent="0.3">
      <c r="K1350" s="28">
        <v>1.3480000000000001</v>
      </c>
      <c r="L1350" s="40">
        <f t="shared" si="21"/>
        <v>0.99782415439997696</v>
      </c>
    </row>
    <row r="1351" spans="11:12" x14ac:dyDescent="0.3">
      <c r="K1351" s="28">
        <v>1.349</v>
      </c>
      <c r="L1351" s="40">
        <f t="shared" si="21"/>
        <v>0.99783677767612033</v>
      </c>
    </row>
    <row r="1352" spans="11:12" x14ac:dyDescent="0.3">
      <c r="K1352" s="28">
        <v>1.35</v>
      </c>
      <c r="L1352" s="40">
        <f t="shared" si="21"/>
        <v>0.99784935003364206</v>
      </c>
    </row>
    <row r="1353" spans="11:12" x14ac:dyDescent="0.3">
      <c r="K1353" s="28">
        <v>1.351</v>
      </c>
      <c r="L1353" s="40">
        <f t="shared" si="21"/>
        <v>0.9978618528012817</v>
      </c>
    </row>
    <row r="1354" spans="11:12" x14ac:dyDescent="0.3">
      <c r="K1354" s="28">
        <v>1.3520000000000001</v>
      </c>
      <c r="L1354" s="40">
        <f t="shared" si="21"/>
        <v>0.99787429067870204</v>
      </c>
    </row>
    <row r="1355" spans="11:12" x14ac:dyDescent="0.3">
      <c r="K1355" s="28">
        <v>1.353</v>
      </c>
      <c r="L1355" s="40">
        <f t="shared" si="21"/>
        <v>0.9978866643324279</v>
      </c>
    </row>
    <row r="1356" spans="11:12" x14ac:dyDescent="0.3">
      <c r="K1356" s="28">
        <v>1.3540000000000001</v>
      </c>
      <c r="L1356" s="40">
        <f t="shared" si="21"/>
        <v>0.99789897442895537</v>
      </c>
    </row>
    <row r="1357" spans="11:12" x14ac:dyDescent="0.3">
      <c r="K1357" s="28">
        <v>1.355</v>
      </c>
      <c r="L1357" s="40">
        <f t="shared" si="21"/>
        <v>0.99791122163483859</v>
      </c>
    </row>
    <row r="1358" spans="11:12" x14ac:dyDescent="0.3">
      <c r="K1358" s="28">
        <v>1.3560000000000001</v>
      </c>
      <c r="L1358" s="40">
        <f t="shared" si="21"/>
        <v>0.9979234066166599</v>
      </c>
    </row>
    <row r="1359" spans="11:12" x14ac:dyDescent="0.3">
      <c r="K1359" s="28">
        <v>1.357</v>
      </c>
      <c r="L1359" s="40">
        <f t="shared" si="21"/>
        <v>0.99793553004088997</v>
      </c>
    </row>
    <row r="1360" spans="11:12" x14ac:dyDescent="0.3">
      <c r="K1360" s="28">
        <v>1.3580000000000001</v>
      </c>
      <c r="L1360" s="40">
        <f t="shared" si="21"/>
        <v>0.99794759257415422</v>
      </c>
    </row>
    <row r="1361" spans="11:12" x14ac:dyDescent="0.3">
      <c r="K1361" s="28">
        <v>1.359</v>
      </c>
      <c r="L1361" s="40">
        <f t="shared" si="21"/>
        <v>0.99795959488291364</v>
      </c>
    </row>
    <row r="1362" spans="11:12" x14ac:dyDescent="0.3">
      <c r="K1362" s="28">
        <v>1.36</v>
      </c>
      <c r="L1362" s="40">
        <f t="shared" si="21"/>
        <v>0.99797153745897249</v>
      </c>
    </row>
    <row r="1363" spans="11:12" x14ac:dyDescent="0.3">
      <c r="K1363" s="28">
        <v>1.361</v>
      </c>
      <c r="L1363" s="40">
        <f t="shared" si="21"/>
        <v>0.99798342119909278</v>
      </c>
    </row>
    <row r="1364" spans="11:12" x14ac:dyDescent="0.3">
      <c r="K1364" s="28">
        <v>1.3620000000000001</v>
      </c>
      <c r="L1364" s="40">
        <f t="shared" si="21"/>
        <v>0.99799524592875533</v>
      </c>
    </row>
    <row r="1365" spans="11:12" x14ac:dyDescent="0.3">
      <c r="K1365" s="28">
        <v>1.363</v>
      </c>
      <c r="L1365" s="40">
        <f t="shared" si="21"/>
        <v>0.9980070115288262</v>
      </c>
    </row>
    <row r="1366" spans="11:12" x14ac:dyDescent="0.3">
      <c r="K1366" s="28">
        <v>1.3640000000000001</v>
      </c>
      <c r="L1366" s="40">
        <f t="shared" si="21"/>
        <v>0.9980187178801545</v>
      </c>
    </row>
    <row r="1367" spans="11:12" x14ac:dyDescent="0.3">
      <c r="K1367" s="28">
        <v>1.365</v>
      </c>
      <c r="L1367" s="40">
        <f t="shared" si="21"/>
        <v>0.99803036486363261</v>
      </c>
    </row>
    <row r="1368" spans="11:12" x14ac:dyDescent="0.3">
      <c r="K1368" s="28">
        <v>1.3660000000000001</v>
      </c>
      <c r="L1368" s="40">
        <f t="shared" si="21"/>
        <v>0.99804195236018733</v>
      </c>
    </row>
    <row r="1369" spans="11:12" x14ac:dyDescent="0.3">
      <c r="K1369" s="28">
        <v>1.367</v>
      </c>
      <c r="L1369" s="40">
        <f t="shared" si="21"/>
        <v>0.998053480250636</v>
      </c>
    </row>
    <row r="1370" spans="11:12" x14ac:dyDescent="0.3">
      <c r="K1370" s="28">
        <v>1.3680000000000001</v>
      </c>
      <c r="L1370" s="40">
        <f t="shared" si="21"/>
        <v>0.99806494841594373</v>
      </c>
    </row>
    <row r="1371" spans="11:12" x14ac:dyDescent="0.3">
      <c r="K1371" s="28">
        <v>1.369</v>
      </c>
      <c r="L1371" s="40">
        <f t="shared" si="21"/>
        <v>0.99807635673691997</v>
      </c>
    </row>
    <row r="1372" spans="11:12" x14ac:dyDescent="0.3">
      <c r="K1372" s="28">
        <v>1.37</v>
      </c>
      <c r="L1372" s="40">
        <f t="shared" si="21"/>
        <v>0.9980877050391106</v>
      </c>
    </row>
    <row r="1373" spans="11:12" x14ac:dyDescent="0.3">
      <c r="K1373" s="28">
        <v>1.371</v>
      </c>
      <c r="L1373" s="40">
        <f t="shared" si="21"/>
        <v>0.99809898747214831</v>
      </c>
    </row>
    <row r="1374" spans="11:12" x14ac:dyDescent="0.3">
      <c r="K1374" s="28">
        <v>1.3720000000000001</v>
      </c>
      <c r="L1374" s="40">
        <f t="shared" si="21"/>
        <v>0.99811026995250862</v>
      </c>
    </row>
    <row r="1375" spans="11:12" x14ac:dyDescent="0.3">
      <c r="K1375" s="28">
        <v>1.373</v>
      </c>
      <c r="L1375" s="40">
        <f t="shared" si="21"/>
        <v>0.99812137419141378</v>
      </c>
    </row>
    <row r="1376" spans="11:12" x14ac:dyDescent="0.3">
      <c r="K1376" s="28">
        <v>1.3740000000000001</v>
      </c>
      <c r="L1376" s="40">
        <f t="shared" si="21"/>
        <v>0.99813247952793549</v>
      </c>
    </row>
    <row r="1377" spans="11:12" x14ac:dyDescent="0.3">
      <c r="K1377" s="28">
        <v>1.375</v>
      </c>
      <c r="L1377" s="40">
        <f t="shared" si="21"/>
        <v>0.9981435566849346</v>
      </c>
    </row>
    <row r="1378" spans="11:12" x14ac:dyDescent="0.3">
      <c r="K1378" s="28">
        <v>1.3760000000000001</v>
      </c>
      <c r="L1378" s="40">
        <f t="shared" si="21"/>
        <v>0.9981545763853058</v>
      </c>
    </row>
    <row r="1379" spans="11:12" x14ac:dyDescent="0.3">
      <c r="K1379" s="28">
        <v>1.377</v>
      </c>
      <c r="L1379" s="40">
        <f t="shared" si="21"/>
        <v>0.99816547954951085</v>
      </c>
    </row>
    <row r="1380" spans="11:12" x14ac:dyDescent="0.3">
      <c r="K1380" s="28">
        <v>1.3780000000000001</v>
      </c>
      <c r="L1380" s="40">
        <f t="shared" si="21"/>
        <v>0.99817638591209512</v>
      </c>
    </row>
    <row r="1381" spans="11:12" x14ac:dyDescent="0.3">
      <c r="K1381" s="28">
        <v>1.379</v>
      </c>
      <c r="L1381" s="40">
        <f t="shared" si="21"/>
        <v>0.99818720659119009</v>
      </c>
    </row>
    <row r="1382" spans="11:12" x14ac:dyDescent="0.3">
      <c r="K1382" s="28">
        <v>1.3800000000000001</v>
      </c>
      <c r="L1382" s="40">
        <f t="shared" si="21"/>
        <v>0.99819797196692872</v>
      </c>
    </row>
    <row r="1383" spans="11:12" x14ac:dyDescent="0.3">
      <c r="K1383" s="28">
        <v>1.381</v>
      </c>
      <c r="L1383" s="40">
        <f t="shared" si="21"/>
        <v>0.99820868240958771</v>
      </c>
    </row>
    <row r="1384" spans="11:12" x14ac:dyDescent="0.3">
      <c r="K1384" s="28">
        <v>1.3820000000000001</v>
      </c>
      <c r="L1384" s="40">
        <f t="shared" si="21"/>
        <v>0.9982193977903322</v>
      </c>
    </row>
    <row r="1385" spans="11:12" x14ac:dyDescent="0.3">
      <c r="K1385" s="28">
        <v>1.383</v>
      </c>
      <c r="L1385" s="40">
        <f t="shared" si="21"/>
        <v>0.9982299394594002</v>
      </c>
    </row>
    <row r="1386" spans="11:12" x14ac:dyDescent="0.3">
      <c r="K1386" s="28">
        <v>1.3840000000000001</v>
      </c>
      <c r="L1386" s="40">
        <f t="shared" si="21"/>
        <v>0.99824048639488849</v>
      </c>
    </row>
    <row r="1387" spans="11:12" x14ac:dyDescent="0.3">
      <c r="K1387" s="28">
        <v>1.385</v>
      </c>
      <c r="L1387" s="40">
        <f t="shared" si="21"/>
        <v>0.99825100895867136</v>
      </c>
    </row>
    <row r="1388" spans="11:12" x14ac:dyDescent="0.3">
      <c r="K1388" s="28">
        <v>1.3860000000000001</v>
      </c>
      <c r="L1388" s="40">
        <f t="shared" si="21"/>
        <v>0.99826147751266114</v>
      </c>
    </row>
    <row r="1389" spans="11:12" x14ac:dyDescent="0.3">
      <c r="K1389" s="28">
        <v>1.387</v>
      </c>
      <c r="L1389" s="40">
        <f t="shared" si="21"/>
        <v>0.99827183261634</v>
      </c>
    </row>
    <row r="1390" spans="11:12" x14ac:dyDescent="0.3">
      <c r="K1390" s="28">
        <v>1.3880000000000001</v>
      </c>
      <c r="L1390" s="40">
        <f t="shared" si="21"/>
        <v>0.99828219364326809</v>
      </c>
    </row>
    <row r="1391" spans="11:12" x14ac:dyDescent="0.3">
      <c r="K1391" s="28">
        <v>1.389</v>
      </c>
      <c r="L1391" s="40">
        <f t="shared" si="21"/>
        <v>0.99829247135059707</v>
      </c>
    </row>
    <row r="1392" spans="11:12" x14ac:dyDescent="0.3">
      <c r="K1392" s="28">
        <v>1.3900000000000001</v>
      </c>
      <c r="L1392" s="40">
        <f t="shared" si="21"/>
        <v>0.99830269585470799</v>
      </c>
    </row>
    <row r="1393" spans="11:12" x14ac:dyDescent="0.3">
      <c r="K1393" s="28">
        <v>1.391</v>
      </c>
      <c r="L1393" s="40">
        <f t="shared" si="21"/>
        <v>0.99831290876742962</v>
      </c>
    </row>
    <row r="1394" spans="11:12" x14ac:dyDescent="0.3">
      <c r="K1394" s="28">
        <v>1.3920000000000001</v>
      </c>
      <c r="L1394" s="40">
        <f t="shared" si="21"/>
        <v>0.99832300913524985</v>
      </c>
    </row>
    <row r="1395" spans="11:12" x14ac:dyDescent="0.3">
      <c r="K1395" s="28">
        <v>1.393</v>
      </c>
      <c r="L1395" s="40">
        <f t="shared" si="21"/>
        <v>0.99833305681135931</v>
      </c>
    </row>
    <row r="1396" spans="11:12" x14ac:dyDescent="0.3">
      <c r="K1396" s="28">
        <v>1.3940000000000001</v>
      </c>
      <c r="L1396" s="40">
        <f t="shared" si="21"/>
        <v>0.9983430520442973</v>
      </c>
    </row>
    <row r="1397" spans="11:12" x14ac:dyDescent="0.3">
      <c r="K1397" s="28">
        <v>1.395</v>
      </c>
      <c r="L1397" s="40">
        <f t="shared" si="21"/>
        <v>0.99835305468727831</v>
      </c>
    </row>
    <row r="1398" spans="11:12" x14ac:dyDescent="0.3">
      <c r="K1398" s="28">
        <v>1.3960000000000001</v>
      </c>
      <c r="L1398" s="40">
        <f t="shared" si="21"/>
        <v>0.99836297558194476</v>
      </c>
    </row>
    <row r="1399" spans="11:12" x14ac:dyDescent="0.3">
      <c r="K1399" s="28">
        <v>1.397</v>
      </c>
      <c r="L1399" s="40">
        <f t="shared" si="21"/>
        <v>0.99837284477912103</v>
      </c>
    </row>
    <row r="1400" spans="11:12" x14ac:dyDescent="0.3">
      <c r="K1400" s="28">
        <v>1.3980000000000001</v>
      </c>
      <c r="L1400" s="40">
        <f t="shared" si="21"/>
        <v>0.99838264762628981</v>
      </c>
    </row>
    <row r="1401" spans="11:12" x14ac:dyDescent="0.3">
      <c r="K1401" s="28">
        <v>1.399</v>
      </c>
      <c r="L1401" s="40">
        <f t="shared" si="21"/>
        <v>0.99839241417426838</v>
      </c>
    </row>
    <row r="1402" spans="11:12" x14ac:dyDescent="0.3">
      <c r="K1402" s="28">
        <v>1.4000000000000001</v>
      </c>
      <c r="L1402" s="40">
        <f t="shared" si="21"/>
        <v>0.99840211510639298</v>
      </c>
    </row>
    <row r="1403" spans="11:12" x14ac:dyDescent="0.3">
      <c r="K1403" s="28">
        <v>1.401</v>
      </c>
      <c r="L1403" s="40">
        <f t="shared" si="21"/>
        <v>0.99841179789419054</v>
      </c>
    </row>
    <row r="1404" spans="11:12" x14ac:dyDescent="0.3">
      <c r="K1404" s="28">
        <v>1.4020000000000001</v>
      </c>
      <c r="L1404" s="40">
        <f t="shared" si="21"/>
        <v>0.99842143025089281</v>
      </c>
    </row>
    <row r="1405" spans="11:12" x14ac:dyDescent="0.3">
      <c r="K1405" s="28">
        <v>1.403</v>
      </c>
      <c r="L1405" s="40">
        <f t="shared" si="21"/>
        <v>0.99843089323924361</v>
      </c>
    </row>
    <row r="1406" spans="11:12" x14ac:dyDescent="0.3">
      <c r="K1406" s="28">
        <v>1.4040000000000001</v>
      </c>
      <c r="L1406" s="40">
        <f t="shared" si="21"/>
        <v>0.99844042554985379</v>
      </c>
    </row>
    <row r="1407" spans="11:12" x14ac:dyDescent="0.3">
      <c r="K1407" s="28">
        <v>1.405</v>
      </c>
      <c r="L1407" s="40">
        <f t="shared" si="21"/>
        <v>0.99844990824548963</v>
      </c>
    </row>
    <row r="1408" spans="11:12" x14ac:dyDescent="0.3">
      <c r="K1408" s="28">
        <v>1.4060000000000001</v>
      </c>
      <c r="L1408" s="40">
        <f t="shared" si="21"/>
        <v>0.99845934159824978</v>
      </c>
    </row>
    <row r="1409" spans="11:12" x14ac:dyDescent="0.3">
      <c r="K1409" s="28">
        <v>1.407</v>
      </c>
      <c r="L1409" s="40">
        <f t="shared" si="21"/>
        <v>0.99846866627548092</v>
      </c>
    </row>
    <row r="1410" spans="11:12" x14ac:dyDescent="0.3">
      <c r="K1410" s="28">
        <v>1.4079999999999999</v>
      </c>
      <c r="L1410" s="40">
        <f t="shared" si="21"/>
        <v>0.99847800175858181</v>
      </c>
    </row>
    <row r="1411" spans="11:12" x14ac:dyDescent="0.3">
      <c r="K1411" s="28">
        <v>1.409</v>
      </c>
      <c r="L1411" s="40">
        <f t="shared" ref="L1411:L1474" si="22">cubic_Spline($A$2:$A$152,$B$2:$B$152,K1411)</f>
        <v>0.99848725891263657</v>
      </c>
    </row>
    <row r="1412" spans="11:12" x14ac:dyDescent="0.3">
      <c r="K1412" s="28">
        <v>1.41</v>
      </c>
      <c r="L1412" s="40">
        <f t="shared" si="22"/>
        <v>0.99849646812692983</v>
      </c>
    </row>
    <row r="1413" spans="11:12" x14ac:dyDescent="0.3">
      <c r="K1413" s="28">
        <v>1.411</v>
      </c>
      <c r="L1413" s="40">
        <f t="shared" si="22"/>
        <v>0.99850567670666202</v>
      </c>
    </row>
    <row r="1414" spans="11:12" x14ac:dyDescent="0.3">
      <c r="K1414" s="28">
        <v>1.4119999999999999</v>
      </c>
      <c r="L1414" s="40">
        <f t="shared" si="22"/>
        <v>0.99851477779282982</v>
      </c>
    </row>
    <row r="1415" spans="11:12" x14ac:dyDescent="0.3">
      <c r="K1415" s="28">
        <v>1.413</v>
      </c>
      <c r="L1415" s="40">
        <f t="shared" si="22"/>
        <v>0.99852383108386589</v>
      </c>
    </row>
    <row r="1416" spans="11:12" x14ac:dyDescent="0.3">
      <c r="K1416" s="28">
        <v>1.4139999999999999</v>
      </c>
      <c r="L1416" s="40">
        <f t="shared" si="22"/>
        <v>0.99853283667338344</v>
      </c>
    </row>
    <row r="1417" spans="11:12" x14ac:dyDescent="0.3">
      <c r="K1417" s="28">
        <v>1.415</v>
      </c>
      <c r="L1417" s="40">
        <f t="shared" si="22"/>
        <v>0.99854182445751427</v>
      </c>
    </row>
    <row r="1418" spans="11:12" x14ac:dyDescent="0.3">
      <c r="K1418" s="28">
        <v>1.4159999999999999</v>
      </c>
      <c r="L1418" s="40">
        <f t="shared" si="22"/>
        <v>0.99855076472761251</v>
      </c>
    </row>
    <row r="1419" spans="11:12" x14ac:dyDescent="0.3">
      <c r="K1419" s="28">
        <v>1.417</v>
      </c>
      <c r="L1419" s="40">
        <f t="shared" si="22"/>
        <v>0.99855962777510421</v>
      </c>
    </row>
    <row r="1420" spans="11:12" x14ac:dyDescent="0.3">
      <c r="K1420" s="28">
        <v>1.4179999999999999</v>
      </c>
      <c r="L1420" s="40">
        <f t="shared" si="22"/>
        <v>0.99856847329834186</v>
      </c>
    </row>
    <row r="1421" spans="11:12" x14ac:dyDescent="0.3">
      <c r="K1421" s="28">
        <v>1.419</v>
      </c>
      <c r="L1421" s="40">
        <f t="shared" si="22"/>
        <v>0.99857726413816394</v>
      </c>
    </row>
    <row r="1422" spans="11:12" x14ac:dyDescent="0.3">
      <c r="K1422" s="28">
        <v>1.42</v>
      </c>
      <c r="L1422" s="40">
        <f t="shared" si="22"/>
        <v>0.99858599332188247</v>
      </c>
    </row>
    <row r="1423" spans="11:12" x14ac:dyDescent="0.3">
      <c r="K1423" s="28">
        <v>1.421</v>
      </c>
      <c r="L1423" s="40">
        <f t="shared" si="22"/>
        <v>0.99859467961025072</v>
      </c>
    </row>
    <row r="1424" spans="11:12" x14ac:dyDescent="0.3">
      <c r="K1424" s="28">
        <v>1.4219999999999999</v>
      </c>
      <c r="L1424" s="40">
        <f t="shared" si="22"/>
        <v>0.99860337888380413</v>
      </c>
    </row>
    <row r="1425" spans="11:12" x14ac:dyDescent="0.3">
      <c r="K1425" s="28">
        <v>1.423</v>
      </c>
      <c r="L1425" s="40">
        <f t="shared" si="22"/>
        <v>0.99861191275461403</v>
      </c>
    </row>
    <row r="1426" spans="11:12" x14ac:dyDescent="0.3">
      <c r="K1426" s="28">
        <v>1.4239999999999999</v>
      </c>
      <c r="L1426" s="40">
        <f t="shared" si="22"/>
        <v>0.99862046046244712</v>
      </c>
    </row>
    <row r="1427" spans="11:12" x14ac:dyDescent="0.3">
      <c r="K1427" s="28">
        <v>1.425</v>
      </c>
      <c r="L1427" s="40">
        <f t="shared" si="22"/>
        <v>0.99862899263100757</v>
      </c>
    </row>
    <row r="1428" spans="11:12" x14ac:dyDescent="0.3">
      <c r="K1428" s="28">
        <v>1.4259999999999999</v>
      </c>
      <c r="L1428" s="40">
        <f t="shared" si="22"/>
        <v>0.99863747988386753</v>
      </c>
    </row>
    <row r="1429" spans="11:12" x14ac:dyDescent="0.3">
      <c r="K1429" s="28">
        <v>1.427</v>
      </c>
      <c r="L1429" s="40">
        <f t="shared" si="22"/>
        <v>0.99864586304234904</v>
      </c>
    </row>
    <row r="1430" spans="11:12" x14ac:dyDescent="0.3">
      <c r="K1430" s="28">
        <v>1.4279999999999999</v>
      </c>
      <c r="L1430" s="40">
        <f t="shared" si="22"/>
        <v>0.99865426174166672</v>
      </c>
    </row>
    <row r="1431" spans="11:12" x14ac:dyDescent="0.3">
      <c r="K1431" s="28">
        <v>1.429</v>
      </c>
      <c r="L1431" s="40">
        <f t="shared" si="22"/>
        <v>0.99866259445139394</v>
      </c>
    </row>
    <row r="1432" spans="11:12" x14ac:dyDescent="0.3">
      <c r="K1432" s="28">
        <v>1.43</v>
      </c>
      <c r="L1432" s="40">
        <f t="shared" si="22"/>
        <v>0.99867086943077088</v>
      </c>
    </row>
    <row r="1433" spans="11:12" x14ac:dyDescent="0.3">
      <c r="K1433" s="28">
        <v>1.431</v>
      </c>
      <c r="L1433" s="40">
        <f t="shared" si="22"/>
        <v>0.99867913406482467</v>
      </c>
    </row>
    <row r="1434" spans="11:12" x14ac:dyDescent="0.3">
      <c r="K1434" s="28">
        <v>1.4319999999999999</v>
      </c>
      <c r="L1434" s="40">
        <f t="shared" si="22"/>
        <v>0.99868735589791346</v>
      </c>
    </row>
    <row r="1435" spans="11:12" x14ac:dyDescent="0.3">
      <c r="K1435" s="28">
        <v>1.4330000000000001</v>
      </c>
      <c r="L1435" s="40">
        <f t="shared" si="22"/>
        <v>0.99869547531050651</v>
      </c>
    </row>
    <row r="1436" spans="11:12" x14ac:dyDescent="0.3">
      <c r="K1436" s="28">
        <v>1.4339999999999999</v>
      </c>
      <c r="L1436" s="40">
        <f t="shared" si="22"/>
        <v>0.99870361149684217</v>
      </c>
    </row>
    <row r="1437" spans="11:12" x14ac:dyDescent="0.3">
      <c r="K1437" s="28">
        <v>1.4350000000000001</v>
      </c>
      <c r="L1437" s="40">
        <f t="shared" si="22"/>
        <v>0.9987116750350864</v>
      </c>
    </row>
    <row r="1438" spans="11:12" x14ac:dyDescent="0.3">
      <c r="K1438" s="28">
        <v>1.4359999999999999</v>
      </c>
      <c r="L1438" s="40">
        <f t="shared" si="22"/>
        <v>0.99871972551488986</v>
      </c>
    </row>
    <row r="1439" spans="11:12" x14ac:dyDescent="0.3">
      <c r="K1439" s="28">
        <v>1.4370000000000001</v>
      </c>
      <c r="L1439" s="40">
        <f t="shared" si="22"/>
        <v>0.99872767351436365</v>
      </c>
    </row>
    <row r="1440" spans="11:12" x14ac:dyDescent="0.3">
      <c r="K1440" s="28">
        <v>1.4379999999999999</v>
      </c>
      <c r="L1440" s="40">
        <f t="shared" si="22"/>
        <v>0.99873563822783062</v>
      </c>
    </row>
    <row r="1441" spans="11:12" x14ac:dyDescent="0.3">
      <c r="K1441" s="28">
        <v>1.4390000000000001</v>
      </c>
      <c r="L1441" s="40">
        <f t="shared" si="22"/>
        <v>0.99874354513455788</v>
      </c>
    </row>
    <row r="1442" spans="11:12" x14ac:dyDescent="0.3">
      <c r="K1442" s="28">
        <v>1.44</v>
      </c>
      <c r="L1442" s="40">
        <f t="shared" si="22"/>
        <v>0.99875140859182732</v>
      </c>
    </row>
    <row r="1443" spans="11:12" x14ac:dyDescent="0.3">
      <c r="K1443" s="28">
        <v>1.4410000000000001</v>
      </c>
      <c r="L1443" s="40">
        <f t="shared" si="22"/>
        <v>0.99875924897804724</v>
      </c>
    </row>
    <row r="1444" spans="11:12" x14ac:dyDescent="0.3">
      <c r="K1444" s="28">
        <v>1.4419999999999999</v>
      </c>
      <c r="L1444" s="40">
        <f t="shared" si="22"/>
        <v>0.998766987184729</v>
      </c>
    </row>
    <row r="1445" spans="11:12" x14ac:dyDescent="0.3">
      <c r="K1445" s="28">
        <v>1.4430000000000001</v>
      </c>
      <c r="L1445" s="40">
        <f t="shared" si="22"/>
        <v>0.99877468317721219</v>
      </c>
    </row>
    <row r="1446" spans="11:12" x14ac:dyDescent="0.3">
      <c r="K1446" s="28">
        <v>1.444</v>
      </c>
      <c r="L1446" s="40">
        <f t="shared" si="22"/>
        <v>0.99878239692067017</v>
      </c>
    </row>
    <row r="1447" spans="11:12" x14ac:dyDescent="0.3">
      <c r="K1447" s="28">
        <v>1.4450000000000001</v>
      </c>
      <c r="L1447" s="40">
        <f t="shared" si="22"/>
        <v>0.99879006917117208</v>
      </c>
    </row>
    <row r="1448" spans="11:12" x14ac:dyDescent="0.3">
      <c r="K1448" s="28">
        <v>1.446</v>
      </c>
      <c r="L1448" s="40">
        <f t="shared" si="22"/>
        <v>0.99879767048698087</v>
      </c>
    </row>
    <row r="1449" spans="11:12" x14ac:dyDescent="0.3">
      <c r="K1449" s="28">
        <v>1.4470000000000001</v>
      </c>
      <c r="L1449" s="40">
        <f t="shared" si="22"/>
        <v>0.99880523103107788</v>
      </c>
    </row>
    <row r="1450" spans="11:12" x14ac:dyDescent="0.3">
      <c r="K1450" s="28">
        <v>1.448</v>
      </c>
      <c r="L1450" s="40">
        <f t="shared" si="22"/>
        <v>0.99881276606523783</v>
      </c>
    </row>
    <row r="1451" spans="11:12" x14ac:dyDescent="0.3">
      <c r="K1451" s="28">
        <v>1.4490000000000001</v>
      </c>
      <c r="L1451" s="40">
        <f t="shared" si="22"/>
        <v>0.99882025359837201</v>
      </c>
    </row>
    <row r="1452" spans="11:12" x14ac:dyDescent="0.3">
      <c r="K1452" s="28">
        <v>1.45</v>
      </c>
      <c r="L1452" s="40">
        <f t="shared" si="22"/>
        <v>0.99882770107785801</v>
      </c>
    </row>
    <row r="1453" spans="11:12" x14ac:dyDescent="0.3">
      <c r="K1453" s="28">
        <v>1.4510000000000001</v>
      </c>
      <c r="L1453" s="40">
        <f t="shared" si="22"/>
        <v>0.99883513189038065</v>
      </c>
    </row>
    <row r="1454" spans="11:12" x14ac:dyDescent="0.3">
      <c r="K1454" s="28">
        <v>1.452</v>
      </c>
      <c r="L1454" s="40">
        <f t="shared" si="22"/>
        <v>0.99884252337073631</v>
      </c>
    </row>
    <row r="1455" spans="11:12" x14ac:dyDescent="0.3">
      <c r="K1455" s="28">
        <v>1.4530000000000001</v>
      </c>
      <c r="L1455" s="40">
        <f t="shared" si="22"/>
        <v>0.99884975630672257</v>
      </c>
    </row>
    <row r="1456" spans="11:12" x14ac:dyDescent="0.3">
      <c r="K1456" s="28">
        <v>1.454</v>
      </c>
      <c r="L1456" s="40">
        <f t="shared" si="22"/>
        <v>0.99885706911384631</v>
      </c>
    </row>
    <row r="1457" spans="11:12" x14ac:dyDescent="0.3">
      <c r="K1457" s="28">
        <v>1.4550000000000001</v>
      </c>
      <c r="L1457" s="40">
        <f t="shared" si="22"/>
        <v>0.99886434257992285</v>
      </c>
    </row>
    <row r="1458" spans="11:12" x14ac:dyDescent="0.3">
      <c r="K1458" s="28">
        <v>1.456</v>
      </c>
      <c r="L1458" s="40">
        <f t="shared" si="22"/>
        <v>0.99887154689960966</v>
      </c>
    </row>
    <row r="1459" spans="11:12" x14ac:dyDescent="0.3">
      <c r="K1459" s="28">
        <v>1.4570000000000001</v>
      </c>
      <c r="L1459" s="40">
        <f t="shared" si="22"/>
        <v>0.9988787118722835</v>
      </c>
    </row>
    <row r="1460" spans="11:12" x14ac:dyDescent="0.3">
      <c r="K1460" s="28">
        <v>1.458</v>
      </c>
      <c r="L1460" s="40">
        <f t="shared" si="22"/>
        <v>0.99888585239611105</v>
      </c>
    </row>
    <row r="1461" spans="11:12" x14ac:dyDescent="0.3">
      <c r="K1461" s="28">
        <v>1.4590000000000001</v>
      </c>
      <c r="L1461" s="40">
        <f t="shared" si="22"/>
        <v>0.99889294611639989</v>
      </c>
    </row>
    <row r="1462" spans="11:12" x14ac:dyDescent="0.3">
      <c r="K1462" s="28">
        <v>1.46</v>
      </c>
      <c r="L1462" s="40">
        <f t="shared" si="22"/>
        <v>0.99890000020491454</v>
      </c>
    </row>
    <row r="1463" spans="11:12" x14ac:dyDescent="0.3">
      <c r="K1463" s="28">
        <v>1.4610000000000001</v>
      </c>
      <c r="L1463" s="40">
        <f t="shared" si="22"/>
        <v>0.99890699590729271</v>
      </c>
    </row>
    <row r="1464" spans="11:12" x14ac:dyDescent="0.3">
      <c r="K1464" s="28">
        <v>1.462</v>
      </c>
      <c r="L1464" s="40">
        <f t="shared" si="22"/>
        <v>0.99891401222188902</v>
      </c>
    </row>
    <row r="1465" spans="11:12" x14ac:dyDescent="0.3">
      <c r="K1465" s="28">
        <v>1.4630000000000001</v>
      </c>
      <c r="L1465" s="40">
        <f t="shared" si="22"/>
        <v>0.99892087070135305</v>
      </c>
    </row>
    <row r="1466" spans="11:12" x14ac:dyDescent="0.3">
      <c r="K1466" s="28">
        <v>1.464</v>
      </c>
      <c r="L1466" s="40">
        <f t="shared" si="22"/>
        <v>0.99892781013068876</v>
      </c>
    </row>
    <row r="1467" spans="11:12" x14ac:dyDescent="0.3">
      <c r="K1467" s="28">
        <v>1.4650000000000001</v>
      </c>
      <c r="L1467" s="40">
        <f t="shared" si="22"/>
        <v>0.99893468186488588</v>
      </c>
    </row>
    <row r="1468" spans="11:12" x14ac:dyDescent="0.3">
      <c r="K1468" s="28">
        <v>1.466</v>
      </c>
      <c r="L1468" s="40">
        <f t="shared" si="22"/>
        <v>0.99894151607274373</v>
      </c>
    </row>
    <row r="1469" spans="11:12" x14ac:dyDescent="0.3">
      <c r="K1469" s="28">
        <v>1.4670000000000001</v>
      </c>
      <c r="L1469" s="40">
        <f t="shared" si="22"/>
        <v>0.9989482833184915</v>
      </c>
    </row>
    <row r="1470" spans="11:12" x14ac:dyDescent="0.3">
      <c r="K1470" s="28">
        <v>1.468</v>
      </c>
      <c r="L1470" s="40">
        <f t="shared" si="22"/>
        <v>0.99895504357327636</v>
      </c>
    </row>
    <row r="1471" spans="11:12" x14ac:dyDescent="0.3">
      <c r="K1471" s="28">
        <v>1.4690000000000001</v>
      </c>
      <c r="L1471" s="40">
        <f t="shared" si="22"/>
        <v>0.99896175250016084</v>
      </c>
    </row>
    <row r="1472" spans="11:12" x14ac:dyDescent="0.3">
      <c r="K1472" s="28">
        <v>1.47</v>
      </c>
      <c r="L1472" s="40">
        <f t="shared" si="22"/>
        <v>0.99896842517102302</v>
      </c>
    </row>
    <row r="1473" spans="11:12" x14ac:dyDescent="0.3">
      <c r="K1473" s="28">
        <v>1.4710000000000001</v>
      </c>
      <c r="L1473" s="40">
        <f t="shared" si="22"/>
        <v>0.99897509512613814</v>
      </c>
    </row>
    <row r="1474" spans="11:12" x14ac:dyDescent="0.3">
      <c r="K1474" s="28">
        <v>1.472</v>
      </c>
      <c r="L1474" s="40">
        <f t="shared" si="22"/>
        <v>0.99898167010791405</v>
      </c>
    </row>
    <row r="1475" spans="11:12" x14ac:dyDescent="0.3">
      <c r="K1475" s="28">
        <v>1.4730000000000001</v>
      </c>
      <c r="L1475" s="40">
        <f t="shared" ref="L1475:L1502" si="23">cubic_Spline($A$2:$A$152,$B$2:$B$152,K1475)</f>
        <v>0.99898821004608263</v>
      </c>
    </row>
    <row r="1476" spans="11:12" x14ac:dyDescent="0.3">
      <c r="K1476" s="28">
        <v>1.474</v>
      </c>
      <c r="L1476" s="40">
        <f t="shared" si="23"/>
        <v>0.99899477487022337</v>
      </c>
    </row>
    <row r="1477" spans="11:12" x14ac:dyDescent="0.3">
      <c r="K1477" s="28">
        <v>1.4750000000000001</v>
      </c>
      <c r="L1477" s="40">
        <f t="shared" si="23"/>
        <v>0.99900127549847217</v>
      </c>
    </row>
    <row r="1478" spans="11:12" x14ac:dyDescent="0.3">
      <c r="K1478" s="28">
        <v>1.476</v>
      </c>
      <c r="L1478" s="40">
        <f t="shared" si="23"/>
        <v>0.99900774205813303</v>
      </c>
    </row>
    <row r="1479" spans="11:12" x14ac:dyDescent="0.3">
      <c r="K1479" s="28">
        <v>1.4770000000000001</v>
      </c>
      <c r="L1479" s="40">
        <f t="shared" si="23"/>
        <v>0.99901417487426403</v>
      </c>
    </row>
    <row r="1480" spans="11:12" x14ac:dyDescent="0.3">
      <c r="K1480" s="28">
        <v>1.478</v>
      </c>
      <c r="L1480" s="40">
        <f t="shared" si="23"/>
        <v>0.99902057427186963</v>
      </c>
    </row>
    <row r="1481" spans="11:12" x14ac:dyDescent="0.3">
      <c r="K1481" s="28">
        <v>1.4790000000000001</v>
      </c>
      <c r="L1481" s="40">
        <f t="shared" si="23"/>
        <v>0.99902694057600272</v>
      </c>
    </row>
    <row r="1482" spans="11:12" x14ac:dyDescent="0.3">
      <c r="K1482" s="28">
        <v>1.48</v>
      </c>
      <c r="L1482" s="40">
        <f t="shared" si="23"/>
        <v>0.99903327398796171</v>
      </c>
    </row>
    <row r="1483" spans="11:12" x14ac:dyDescent="0.3">
      <c r="K1483" s="28">
        <v>1.4810000000000001</v>
      </c>
      <c r="L1483" s="40">
        <f t="shared" si="23"/>
        <v>0.99903959275502496</v>
      </c>
    </row>
    <row r="1484" spans="11:12" x14ac:dyDescent="0.3">
      <c r="K1484" s="28">
        <v>1.482</v>
      </c>
      <c r="L1484" s="40">
        <f t="shared" si="23"/>
        <v>0.99904587812729184</v>
      </c>
    </row>
    <row r="1485" spans="11:12" x14ac:dyDescent="0.3">
      <c r="K1485" s="28">
        <v>1.4830000000000001</v>
      </c>
      <c r="L1485" s="40">
        <f t="shared" si="23"/>
        <v>0.99905206954880366</v>
      </c>
    </row>
    <row r="1486" spans="11:12" x14ac:dyDescent="0.3">
      <c r="K1486" s="28">
        <v>1.484</v>
      </c>
      <c r="L1486" s="40">
        <f t="shared" si="23"/>
        <v>0.99905828527738971</v>
      </c>
    </row>
    <row r="1487" spans="11:12" x14ac:dyDescent="0.3">
      <c r="K1487" s="28">
        <v>1.4850000000000001</v>
      </c>
      <c r="L1487" s="40">
        <f t="shared" si="23"/>
        <v>0.99906443495478314</v>
      </c>
    </row>
    <row r="1488" spans="11:12" x14ac:dyDescent="0.3">
      <c r="K1488" s="28">
        <v>1.486</v>
      </c>
      <c r="L1488" s="40">
        <f t="shared" si="23"/>
        <v>0.999070577234211</v>
      </c>
    </row>
    <row r="1489" spans="11:12" x14ac:dyDescent="0.3">
      <c r="K1489" s="28">
        <v>1.4870000000000001</v>
      </c>
      <c r="L1489" s="40">
        <f t="shared" si="23"/>
        <v>0.99907665155968761</v>
      </c>
    </row>
    <row r="1490" spans="11:12" x14ac:dyDescent="0.3">
      <c r="K1490" s="28">
        <v>1.488</v>
      </c>
      <c r="L1490" s="40">
        <f t="shared" si="23"/>
        <v>0.99908270168330005</v>
      </c>
    </row>
    <row r="1491" spans="11:12" x14ac:dyDescent="0.3">
      <c r="K1491" s="28">
        <v>1.4890000000000001</v>
      </c>
      <c r="L1491" s="40">
        <f t="shared" si="23"/>
        <v>0.99908870430196128</v>
      </c>
    </row>
    <row r="1492" spans="11:12" x14ac:dyDescent="0.3">
      <c r="K1492" s="28">
        <v>1.49</v>
      </c>
      <c r="L1492" s="40">
        <f t="shared" si="23"/>
        <v>0.99909466585629236</v>
      </c>
    </row>
    <row r="1493" spans="11:12" x14ac:dyDescent="0.3">
      <c r="K1493" s="28">
        <v>1.4910000000000001</v>
      </c>
      <c r="L1493" s="40">
        <f t="shared" si="23"/>
        <v>0.99910060872747042</v>
      </c>
    </row>
    <row r="1494" spans="11:12" x14ac:dyDescent="0.3">
      <c r="K1494" s="28">
        <v>1.492</v>
      </c>
      <c r="L1494" s="40">
        <f t="shared" si="23"/>
        <v>0.99910651383717286</v>
      </c>
    </row>
    <row r="1495" spans="11:12" x14ac:dyDescent="0.3">
      <c r="K1495" s="28">
        <v>1.4930000000000001</v>
      </c>
      <c r="L1495" s="40">
        <f t="shared" si="23"/>
        <v>0.99911232577653541</v>
      </c>
    </row>
    <row r="1496" spans="11:12" x14ac:dyDescent="0.3">
      <c r="K1496" s="28">
        <v>1.494</v>
      </c>
      <c r="L1496" s="40">
        <f t="shared" si="23"/>
        <v>0.99911816795046415</v>
      </c>
    </row>
    <row r="1497" spans="11:12" x14ac:dyDescent="0.3">
      <c r="K1497" s="28">
        <v>1.4950000000000001</v>
      </c>
      <c r="L1497" s="40">
        <f t="shared" si="23"/>
        <v>0.99912395514779118</v>
      </c>
    </row>
    <row r="1498" spans="11:12" x14ac:dyDescent="0.3">
      <c r="K1498" s="28">
        <v>1.496</v>
      </c>
      <c r="L1498" s="40">
        <f t="shared" si="23"/>
        <v>0.99912975116883329</v>
      </c>
    </row>
    <row r="1499" spans="11:12" x14ac:dyDescent="0.3">
      <c r="K1499" s="28">
        <v>1.4970000000000001</v>
      </c>
      <c r="L1499" s="40">
        <f t="shared" si="23"/>
        <v>0.9991355006046917</v>
      </c>
    </row>
    <row r="1500" spans="11:12" x14ac:dyDescent="0.3">
      <c r="K1500" s="28">
        <v>1.498</v>
      </c>
      <c r="L1500" s="40">
        <f t="shared" si="23"/>
        <v>0.99914125235454898</v>
      </c>
    </row>
    <row r="1501" spans="11:12" x14ac:dyDescent="0.3">
      <c r="K1501" s="28">
        <v>1.4990000000000001</v>
      </c>
      <c r="L1501" s="40">
        <f t="shared" si="23"/>
        <v>0.99914698826240378</v>
      </c>
    </row>
    <row r="1502" spans="11:12" x14ac:dyDescent="0.3">
      <c r="K1502" s="28">
        <v>1.5</v>
      </c>
      <c r="L1502" s="40">
        <f t="shared" si="23"/>
        <v>0.99915271997451782</v>
      </c>
    </row>
  </sheetData>
  <protectedRanges>
    <protectedRange sqref="E3:E4" name="Range1"/>
  </protectedRanges>
  <mergeCells count="1">
    <mergeCell ref="D1:E1"/>
  </mergeCells>
  <pageMargins left="0.7" right="0.7" top="0.75" bottom="0.75" header="0.3" footer="0.3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MobilityCalculator</vt:lpstr>
      <vt:lpstr>fc</vt:lpstr>
    </vt:vector>
  </TitlesOfParts>
  <Company>Washington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Chemistry Department</dc:creator>
  <cp:lastModifiedBy>clowers</cp:lastModifiedBy>
  <cp:lastPrinted>2014-02-06T21:57:21Z</cp:lastPrinted>
  <dcterms:created xsi:type="dcterms:W3CDTF">2012-04-25T00:11:47Z</dcterms:created>
  <dcterms:modified xsi:type="dcterms:W3CDTF">2017-07-26T07:16:34Z</dcterms:modified>
</cp:coreProperties>
</file>